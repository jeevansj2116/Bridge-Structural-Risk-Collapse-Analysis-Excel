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5b62ab857563788/"/>
    </mc:Choice>
  </mc:AlternateContent>
  <xr:revisionPtr revIDLastSave="669" documentId="8_{923C2F04-4BD1-4FF0-BEC3-E2834D132836}" xr6:coauthVersionLast="47" xr6:coauthVersionMax="47" xr10:uidLastSave="{296410AC-7333-429B-96D3-0F5C49C453AE}"/>
  <bookViews>
    <workbookView xWindow="-108" yWindow="-108" windowWidth="23256" windowHeight="13896" tabRatio="617" activeTab="2" xr2:uid="{00000000-000D-0000-FFFF-FFFF00000000}"/>
  </bookViews>
  <sheets>
    <sheet name="Chart2" sheetId="9" r:id="rId1"/>
    <sheet name="Chart1" sheetId="8" r:id="rId2"/>
    <sheet name="DASHBOARD" sheetId="1" r:id="rId3"/>
    <sheet name="Charts" sheetId="7" r:id="rId4"/>
  </sheets>
  <definedNames>
    <definedName name="_xlnm.Print_Area" localSheetId="2">DASHBOARD!$A$1:$AK$52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<sst xmlns="http://schemas.openxmlformats.org/spreadsheetml/2006/main" count="130" uniqueCount="73">
  <si>
    <t>🏗  BRIDGE INFRASTRUCTURE RISK &amp; COLLAPSE ANALYSIS DASHBOARD</t>
  </si>
  <si>
    <t>TOTAL BRIDGES</t>
  </si>
  <si>
    <t>STANDING</t>
  </si>
  <si>
    <t>COLLAPSE RATE</t>
  </si>
  <si>
    <t>AVG RISK SCORE</t>
  </si>
  <si>
    <t>CRITICAL RISK</t>
  </si>
  <si>
    <t>10,000</t>
  </si>
  <si>
    <t>2,000</t>
  </si>
  <si>
    <t>8,000</t>
  </si>
  <si>
    <t>📊 BY MATERIAL</t>
  </si>
  <si>
    <t>📐 BY DESIGN</t>
  </si>
  <si>
    <t>🗺 BY REGION</t>
  </si>
  <si>
    <t>Material</t>
  </si>
  <si>
    <t>Total</t>
  </si>
  <si>
    <t>Collapsed</t>
  </si>
  <si>
    <t>Standing</t>
  </si>
  <si>
    <t>Rate%</t>
  </si>
  <si>
    <t>Design</t>
  </si>
  <si>
    <t>Region</t>
  </si>
  <si>
    <t>Concrete</t>
  </si>
  <si>
    <t>Arch</t>
  </si>
  <si>
    <t>Region_1</t>
  </si>
  <si>
    <t>Steel</t>
  </si>
  <si>
    <t>Beam</t>
  </si>
  <si>
    <t>Region_2</t>
  </si>
  <si>
    <t>Wood</t>
  </si>
  <si>
    <t>Truss</t>
  </si>
  <si>
    <t>Region_3</t>
  </si>
  <si>
    <t>Region_4</t>
  </si>
  <si>
    <t>Region_5</t>
  </si>
  <si>
    <t>📅 BY AGE GROUP</t>
  </si>
  <si>
    <t>⚠ RISK LEVEL SUMMARY</t>
  </si>
  <si>
    <t>Age Group</t>
  </si>
  <si>
    <t>Avg Risk</t>
  </si>
  <si>
    <t>Avg Stress</t>
  </si>
  <si>
    <t>Risk Level</t>
  </si>
  <si>
    <t>Count</t>
  </si>
  <si>
    <t>Avg Score</t>
  </si>
  <si>
    <t>Min</t>
  </si>
  <si>
    <t>Max</t>
  </si>
  <si>
    <t>0-10 yrs</t>
  </si>
  <si>
    <t>Low</t>
  </si>
  <si>
    <t>11-20 yrs</t>
  </si>
  <si>
    <t>Moderate</t>
  </si>
  <si>
    <t>21-30 yrs</t>
  </si>
  <si>
    <t>High</t>
  </si>
  <si>
    <t>31-40 yrs</t>
  </si>
  <si>
    <t>Critical</t>
  </si>
  <si>
    <t>41-50 yrs</t>
  </si>
  <si>
    <t>🌦 BY WEATHER CONDITIONS</t>
  </si>
  <si>
    <t>Weather</t>
  </si>
  <si>
    <t>Avg Rain(mm)</t>
  </si>
  <si>
    <t>Status</t>
  </si>
  <si>
    <t>Stress(MPa)</t>
  </si>
  <si>
    <t>Strain(%)</t>
  </si>
  <si>
    <t>Age(yrs)</t>
  </si>
  <si>
    <t>Traffic</t>
  </si>
  <si>
    <t>Rainfall</t>
  </si>
  <si>
    <t>RiskScore</t>
  </si>
  <si>
    <t>Humidity</t>
  </si>
  <si>
    <t>Temp(°C)</t>
  </si>
  <si>
    <t>Flow</t>
  </si>
  <si>
    <t>Cloudy</t>
  </si>
  <si>
    <t>Rainy</t>
  </si>
  <si>
    <t>Snowy</t>
  </si>
  <si>
    <t>Sunny</t>
  </si>
  <si>
    <t>Windy</t>
  </si>
  <si>
    <t>BRIDGE INSPECTION — ANALYTICAL CHARTS</t>
  </si>
  <si>
    <t>Collapse Rate (%)</t>
  </si>
  <si>
    <t>Avg Stress - Collapsed</t>
  </si>
  <si>
    <t>Avg Stress - Standing</t>
  </si>
  <si>
    <r>
      <t>COLL</t>
    </r>
    <r>
      <rPr>
        <b/>
        <sz val="8"/>
        <color rgb="FFCCCCCC"/>
        <rFont val="Arial"/>
        <family val="2"/>
      </rPr>
      <t>APSED</t>
    </r>
  </si>
  <si>
    <t>PROJECT BY : JEEVAN S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</si>
</sst>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8"/>
      <color rgb="FFCCCCCC"/>
      <name val="Arial"/>
      <charset val="1"/>
    </font>
    <font>
      <b/>
      <sz val="20"/>
      <color rgb="FFFFFFFF"/>
      <name val="Arial"/>
      <charset val="1"/>
    </font>
    <font>
      <b/>
      <sz val="9"/>
      <color rgb="FFFFFFFF"/>
      <name val="Arial"/>
      <charset val="1"/>
    </font>
    <font>
      <b/>
      <sz val="8"/>
      <color rgb="FFFFFFFF"/>
      <name val="Arial"/>
      <charset val="1"/>
    </font>
    <font>
      <b/>
      <sz val="8"/>
      <color rgb="FF1C2833"/>
      <name val="Arial"/>
      <charset val="1"/>
    </font>
    <font>
      <sz val="8"/>
      <color rgb="FF1C2833"/>
      <name val="Arial"/>
      <charset val="1"/>
    </font>
    <font>
      <sz val="8"/>
      <color rgb="FFC0392B"/>
      <name val="Arial"/>
      <charset val="1"/>
    </font>
    <font>
      <sz val="9"/>
      <color rgb="FF1C2833"/>
      <name val="Arial"/>
      <charset val="1"/>
    </font>
    <font>
      <b/>
      <sz val="13"/>
      <color rgb="FFFFFFFF"/>
      <name val="Arial"/>
      <charset val="1"/>
    </font>
    <font>
      <b/>
      <sz val="8"/>
      <color rgb="FFCCCCCC"/>
      <name val="Arial"/>
      <family val="2"/>
    </font>
    <font>
      <b/>
      <sz val="20"/>
      <color theme="1"/>
      <name val="Bahnschrift"/>
      <family val="2"/>
    </font>
    <font>
      <b/>
      <sz val="9"/>
      <color rgb="FFFFFFF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D2B55"/>
        <bgColor rgb="FF1C2833"/>
      </patternFill>
    </fill>
    <fill>
      <patternFill patternType="solid">
        <fgColor rgb="FF1A5276"/>
        <bgColor rgb="FF0D2B55"/>
      </patternFill>
    </fill>
    <fill>
      <patternFill patternType="solid">
        <fgColor rgb="FFC0392B"/>
        <bgColor rgb="FFD35400"/>
      </patternFill>
    </fill>
    <fill>
      <patternFill patternType="solid">
        <fgColor rgb="FF1E8449"/>
        <bgColor rgb="FF148F77"/>
      </patternFill>
    </fill>
    <fill>
      <patternFill patternType="solid">
        <fgColor rgb="FFD35400"/>
        <bgColor rgb="FFC0392B"/>
      </patternFill>
    </fill>
    <fill>
      <patternFill patternType="solid">
        <fgColor rgb="FF6C3483"/>
        <bgColor rgb="FF660066"/>
      </patternFill>
    </fill>
    <fill>
      <patternFill patternType="solid">
        <fgColor rgb="FF148F77"/>
        <bgColor rgb="FF1E8449"/>
      </patternFill>
    </fill>
    <fill>
      <patternFill patternType="solid">
        <fgColor rgb="FF2E86C1"/>
        <bgColor rgb="FF2980B9"/>
      </patternFill>
    </fill>
    <fill>
      <patternFill patternType="solid">
        <fgColor rgb="FFFFFFFF"/>
        <bgColor rgb="FFF9F9F9"/>
      </patternFill>
    </fill>
    <fill>
      <patternFill patternType="solid">
        <fgColor rgb="FFF2F3F4"/>
        <bgColor rgb="FFF0F0F0"/>
      </patternFill>
    </fill>
    <fill>
      <patternFill patternType="solid">
        <fgColor rgb="FFE6B800"/>
        <bgColor rgb="FFFF9900"/>
      </patternFill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/>
      <bottom style="thin">
        <color rgb="FFBDC3C7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10" fontId="7" fillId="10" borderId="1" xfId="0" applyNumberFormat="1" applyFont="1" applyFill="1" applyBorder="1" applyAlignment="1">
      <alignment horizontal="center" vertical="center"/>
    </xf>
    <xf numFmtId="10" fontId="7" fillId="11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2" fillId="0" borderId="0" xfId="0" applyFont="1"/>
    <xf numFmtId="0" fontId="13" fillId="3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3" fontId="3" fillId="4" borderId="0" xfId="0" applyNumberFormat="1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0" fontId="3" fillId="6" borderId="0" xfId="0" applyNumberFormat="1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4D03F"/>
      <rgbColor rgb="FFFF00FF"/>
      <rgbColor rgb="FF00FFFF"/>
      <rgbColor rgb="FF800000"/>
      <rgbColor rgb="FF008000"/>
      <rgbColor rgb="FF000080"/>
      <rgbColor rgb="FF808000"/>
      <rgbColor rgb="FF800080"/>
      <rgbColor rgb="FF148F77"/>
      <rgbColor rgb="FFBDC3C7"/>
      <rgbColor rgb="FF878787"/>
      <rgbColor rgb="FF4F81BD"/>
      <rgbColor rgb="FF6C3483"/>
      <rgbColor rgb="FFFDFBD4"/>
      <rgbColor rgb="FFF2F3F4"/>
      <rgbColor rgb="FF660066"/>
      <rgbColor rgb="FFD9D9D9"/>
      <rgbColor rgb="FF2980B9"/>
      <rgbColor rgb="FFD5D8DC"/>
      <rgbColor rgb="FF000080"/>
      <rgbColor rgb="FFFF00FF"/>
      <rgbColor rgb="FFFFFF00"/>
      <rgbColor rgb="FF00FFFF"/>
      <rgbColor rgb="FF800080"/>
      <rgbColor rgb="FF800000"/>
      <rgbColor rgb="FF1E8449"/>
      <rgbColor rgb="FF0000FF"/>
      <rgbColor rgb="FF00CCFF"/>
      <rgbColor rgb="FFF0F0F0"/>
      <rgbColor rgb="FFD5F5E3"/>
      <rgbColor rgb="FFF9F9F9"/>
      <rgbColor rgb="FFAED6F1"/>
      <rgbColor rgb="FFFADBD8"/>
      <rgbColor rgb="FFCCCCCC"/>
      <rgbColor rgb="FFFAD7A0"/>
      <rgbColor rgb="FF2E86C1"/>
      <rgbColor rgb="FF33CCCC"/>
      <rgbColor rgb="FF99CC00"/>
      <rgbColor rgb="FFE6B800"/>
      <rgbColor rgb="FFFF9900"/>
      <rgbColor rgb="FFE67E22"/>
      <rgbColor rgb="FF717D7E"/>
      <rgbColor rgb="FFAAAAAA"/>
      <rgbColor rgb="FF0D2B55"/>
      <rgbColor rgb="FF27AE60"/>
      <rgbColor rgb="FF003300"/>
      <rgbColor rgb="FF333300"/>
      <rgbColor rgb="FFC0392B"/>
      <rgbColor rgb="FFD35400"/>
      <rgbColor rgb="FF1A5276"/>
      <rgbColor rgb="FF1C28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Charts!$E$3</c:f>
              <c:strCache>
                <c:ptCount val="1"/>
                <c:pt idx="0">
                  <c:v>Avg Stress - Collapsed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Charts!$D$4:$D$6</c:f>
              <c:strCache>
                <c:ptCount val="3"/>
                <c:pt idx="0">
                  <c:v>Arch</c:v>
                </c:pt>
                <c:pt idx="1">
                  <c:v>Beam</c:v>
                </c:pt>
                <c:pt idx="2">
                  <c:v>Truss</c:v>
                </c:pt>
              </c:strCache>
            </c:strRef>
          </c:cat>
          <c:val>
            <c:numRef>
              <c:f>Charts!$E$4:$E$6</c:f>
              <c:numCache>
                <c:formatCode>General</c:formatCode>
                <c:ptCount val="3"/>
                <c:pt idx="0">
                  <c:v>90</c:v>
                </c:pt>
                <c:pt idx="1">
                  <c:v>90</c:v>
                </c:pt>
                <c:pt idx="2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7D-43E4-9768-086670B3CAFE}"/>
            </c:ext>
          </c:extLst>
        </c:ser>
        <c:ser>
          <c:idx val="1"/>
          <c:order val="1"/>
          <c:tx>
            <c:strRef>
              <c:f>Charts!$F$3</c:f>
              <c:strCache>
                <c:ptCount val="1"/>
                <c:pt idx="0">
                  <c:v>Avg Stress - Standing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Charts!$D$4:$D$6</c:f>
              <c:strCache>
                <c:ptCount val="3"/>
                <c:pt idx="0">
                  <c:v>Arch</c:v>
                </c:pt>
                <c:pt idx="1">
                  <c:v>Beam</c:v>
                </c:pt>
                <c:pt idx="2">
                  <c:v>Truss</c:v>
                </c:pt>
              </c:strCache>
            </c:strRef>
          </c:cat>
          <c:val>
            <c:numRef>
              <c:f>Charts!$F$4:$F$6</c:f>
              <c:numCache>
                <c:formatCode>General</c:formatCode>
                <c:ptCount val="3"/>
                <c:pt idx="0">
                  <c:v>40</c:v>
                </c:pt>
                <c:pt idx="1">
                  <c:v>40</c:v>
                </c:pt>
                <c:pt idx="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7D-43E4-9768-086670B3C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2051104"/>
        <c:axId val="2012052544"/>
      </c:barChart>
      <c:catAx>
        <c:axId val="201205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052544"/>
        <c:crosses val="autoZero"/>
        <c:auto val="1"/>
        <c:lblAlgn val="ctr"/>
        <c:lblOffset val="100"/>
        <c:noMultiLvlLbl val="0"/>
      </c:catAx>
      <c:valAx>
        <c:axId val="201205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05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Charts!$E$3</c:f>
              <c:strCache>
                <c:ptCount val="1"/>
                <c:pt idx="0">
                  <c:v>Avg Stress - Collapsed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Charts!$D$4:$D$6</c:f>
              <c:strCache>
                <c:ptCount val="3"/>
                <c:pt idx="0">
                  <c:v>Arch</c:v>
                </c:pt>
                <c:pt idx="1">
                  <c:v>Beam</c:v>
                </c:pt>
                <c:pt idx="2">
                  <c:v>Truss</c:v>
                </c:pt>
              </c:strCache>
            </c:strRef>
          </c:cat>
          <c:val>
            <c:numRef>
              <c:f>Charts!$E$4:$E$6</c:f>
              <c:numCache>
                <c:formatCode>General</c:formatCode>
                <c:ptCount val="3"/>
                <c:pt idx="0">
                  <c:v>90</c:v>
                </c:pt>
                <c:pt idx="1">
                  <c:v>90</c:v>
                </c:pt>
                <c:pt idx="2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2C-48A6-8BCA-0F19F4D8F368}"/>
            </c:ext>
          </c:extLst>
        </c:ser>
        <c:ser>
          <c:idx val="1"/>
          <c:order val="1"/>
          <c:tx>
            <c:strRef>
              <c:f>Charts!$F$3</c:f>
              <c:strCache>
                <c:ptCount val="1"/>
                <c:pt idx="0">
                  <c:v>Avg Stress - Standing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Charts!$D$4:$D$6</c:f>
              <c:strCache>
                <c:ptCount val="3"/>
                <c:pt idx="0">
                  <c:v>Arch</c:v>
                </c:pt>
                <c:pt idx="1">
                  <c:v>Beam</c:v>
                </c:pt>
                <c:pt idx="2">
                  <c:v>Truss</c:v>
                </c:pt>
              </c:strCache>
            </c:strRef>
          </c:cat>
          <c:val>
            <c:numRef>
              <c:f>Charts!$F$4:$F$6</c:f>
              <c:numCache>
                <c:formatCode>General</c:formatCode>
                <c:ptCount val="3"/>
                <c:pt idx="0">
                  <c:v>40</c:v>
                </c:pt>
                <c:pt idx="1">
                  <c:v>40</c:v>
                </c:pt>
                <c:pt idx="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2C-48A6-8BCA-0F19F4D8F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1896096"/>
        <c:axId val="1961896576"/>
      </c:barChart>
      <c:catAx>
        <c:axId val="196189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896576"/>
        <c:crosses val="autoZero"/>
        <c:auto val="1"/>
        <c:lblAlgn val="ctr"/>
        <c:lblOffset val="100"/>
        <c:noMultiLvlLbl val="0"/>
      </c:catAx>
      <c:valAx>
        <c:axId val="196189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896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Bridge Risk Level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Charts!$B$3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27AE6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75E5-4C50-BB9F-28CE47C22BC2}"/>
              </c:ext>
            </c:extLst>
          </c:dPt>
          <c:dPt>
            <c:idx val="1"/>
            <c:bubble3D val="0"/>
            <c:spPr>
              <a:solidFill>
                <a:srgbClr val="F4D03F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75E5-4C50-BB9F-28CE47C22BC2}"/>
              </c:ext>
            </c:extLst>
          </c:dPt>
          <c:dPt>
            <c:idx val="2"/>
            <c:bubble3D val="0"/>
            <c:spPr>
              <a:solidFill>
                <a:srgbClr val="E67E2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75E5-4C50-BB9F-28CE47C22BC2}"/>
              </c:ext>
            </c:extLst>
          </c:dPt>
          <c:dPt>
            <c:idx val="3"/>
            <c:bubble3D val="0"/>
            <c:spPr>
              <a:solidFill>
                <a:srgbClr val="C0392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75E5-4C50-BB9F-28CE47C22BC2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5E5-4C50-BB9F-28CE47C22BC2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5E5-4C50-BB9F-28CE47C22BC2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5E5-4C50-BB9F-28CE47C22BC2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5E5-4C50-BB9F-28CE47C22B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Charts!$A$4:$A$7</c:f>
              <c:strCache>
                <c:ptCount val="4"/>
                <c:pt idx="0">
                  <c:v>Low</c:v>
                </c:pt>
                <c:pt idx="1">
                  <c:v>Moderate</c:v>
                </c:pt>
                <c:pt idx="2">
                  <c:v>High</c:v>
                </c:pt>
                <c:pt idx="3">
                  <c:v>Critical</c:v>
                </c:pt>
              </c:strCache>
            </c:strRef>
          </c:cat>
          <c:val>
            <c:numRef>
              <c:f>Charts!$B$4:$B$7</c:f>
              <c:numCache>
                <c:formatCode>General</c:formatCode>
                <c:ptCount val="4"/>
                <c:pt idx="0">
                  <c:v>2256</c:v>
                </c:pt>
                <c:pt idx="1">
                  <c:v>3484</c:v>
                </c:pt>
                <c:pt idx="2">
                  <c:v>2789</c:v>
                </c:pt>
                <c:pt idx="3">
                  <c:v>1471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5E5-4C50-BB9F-28CE47C22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Avg Stress (MPa): Collapsed vs Standing by Design</a:t>
            </a:r>
          </a:p>
        </c:rich>
      </c:tx>
      <c:layout>
        <c:manualLayout>
          <c:xMode val="edge"/>
          <c:yMode val="edge"/>
          <c:x val="0.11423840644923502"/>
          <c:y val="2.7196930776815235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Charts!$E$3</c:f>
              <c:strCache>
                <c:ptCount val="1"/>
                <c:pt idx="0">
                  <c:v>Avg Stress - Collapsed</c:v>
                </c:pt>
              </c:strCache>
            </c:strRef>
          </c:tx>
          <c:spPr>
            <a:solidFill>
              <a:srgbClr val="C039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Charts!$D$4:$D$6</c:f>
              <c:strCache>
                <c:ptCount val="3"/>
                <c:pt idx="0">
                  <c:v>Arch</c:v>
                </c:pt>
                <c:pt idx="1">
                  <c:v>Beam</c:v>
                </c:pt>
                <c:pt idx="2">
                  <c:v>Truss</c:v>
                </c:pt>
              </c:strCache>
            </c:strRef>
          </c:cat>
          <c:val>
            <c:numRef>
              <c:f>Charts!$E$4:$E$6</c:f>
              <c:numCache>
                <c:formatCode>General</c:formatCode>
                <c:ptCount val="3"/>
                <c:pt idx="0">
                  <c:v>90</c:v>
                </c:pt>
                <c:pt idx="1">
                  <c:v>90</c:v>
                </c:pt>
                <c:pt idx="2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C3-424F-AE74-7BF83F4396A8}"/>
            </c:ext>
          </c:extLst>
        </c:ser>
        <c:ser>
          <c:idx val="1"/>
          <c:order val="1"/>
          <c:tx>
            <c:strRef>
              <c:f>Charts!$F$3</c:f>
              <c:strCache>
                <c:ptCount val="1"/>
                <c:pt idx="0">
                  <c:v>Avg Stress - Standing</c:v>
                </c:pt>
              </c:strCache>
            </c:strRef>
          </c:tx>
          <c:spPr>
            <a:solidFill>
              <a:srgbClr val="2980B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Charts!$D$4:$D$6</c:f>
              <c:strCache>
                <c:ptCount val="3"/>
                <c:pt idx="0">
                  <c:v>Arch</c:v>
                </c:pt>
                <c:pt idx="1">
                  <c:v>Beam</c:v>
                </c:pt>
                <c:pt idx="2">
                  <c:v>Truss</c:v>
                </c:pt>
              </c:strCache>
            </c:strRef>
          </c:cat>
          <c:val>
            <c:numRef>
              <c:f>Charts!$F$4:$F$6</c:f>
              <c:numCache>
                <c:formatCode>General</c:formatCode>
                <c:ptCount val="3"/>
                <c:pt idx="0">
                  <c:v>40</c:v>
                </c:pt>
                <c:pt idx="1">
                  <c:v>40</c:v>
                </c:pt>
                <c:pt idx="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C3-424F-AE74-7BF83F439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331539"/>
        <c:axId val="92127463"/>
      </c:barChart>
      <c:catAx>
        <c:axId val="523315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Bridge Design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127463"/>
        <c:crosses val="autoZero"/>
        <c:auto val="1"/>
        <c:lblAlgn val="ctr"/>
        <c:lblOffset val="100"/>
        <c:noMultiLvlLbl val="0"/>
      </c:catAx>
      <c:valAx>
        <c:axId val="921274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Stress (MPa)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3315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Collapsed Bridges by Weather Condition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Charts!$B$18</c:f>
              <c:strCache>
                <c:ptCount val="1"/>
                <c:pt idx="0">
                  <c:v>Collapsed</c:v>
                </c:pt>
              </c:strCache>
            </c:strRef>
          </c:tx>
          <c:spPr>
            <a:solidFill>
              <a:srgbClr val="148F7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Charts!$A$19:$A$23</c:f>
              <c:strCache>
                <c:ptCount val="5"/>
                <c:pt idx="0">
                  <c:v>Cloudy</c:v>
                </c:pt>
                <c:pt idx="1">
                  <c:v>Rainy</c:v>
                </c:pt>
                <c:pt idx="2">
                  <c:v>Snowy</c:v>
                </c:pt>
                <c:pt idx="3">
                  <c:v>Sunny</c:v>
                </c:pt>
                <c:pt idx="4">
                  <c:v>Windy</c:v>
                </c:pt>
              </c:strCache>
            </c:strRef>
          </c:cat>
          <c:val>
            <c:numRef>
              <c:f>Charts!$B$19:$B$23</c:f>
              <c:numCache>
                <c:formatCode>General</c:formatCode>
                <c:ptCount val="5"/>
                <c:pt idx="0">
                  <c:v>400</c:v>
                </c:pt>
                <c:pt idx="1">
                  <c:v>400</c:v>
                </c:pt>
                <c:pt idx="2">
                  <c:v>400</c:v>
                </c:pt>
                <c:pt idx="3">
                  <c:v>400</c:v>
                </c:pt>
                <c:pt idx="4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4C-4C90-9861-D3C8C8D0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148424"/>
        <c:axId val="72992873"/>
      </c:barChart>
      <c:catAx>
        <c:axId val="6814842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Collapsed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992873"/>
        <c:crosses val="autoZero"/>
        <c:auto val="1"/>
        <c:lblAlgn val="ctr"/>
        <c:lblOffset val="100"/>
        <c:noMultiLvlLbl val="0"/>
      </c:catAx>
      <c:valAx>
        <c:axId val="7299287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Weather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1484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Collapse Status by Material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Charts!$E$10</c:f>
              <c:strCache>
                <c:ptCount val="1"/>
                <c:pt idx="0">
                  <c:v>Collapsed</c:v>
                </c:pt>
              </c:strCache>
            </c:strRef>
          </c:tx>
          <c:spPr>
            <a:solidFill>
              <a:srgbClr val="C039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Charts!$D$11:$D$13</c:f>
              <c:strCache>
                <c:ptCount val="3"/>
                <c:pt idx="0">
                  <c:v>Concrete</c:v>
                </c:pt>
                <c:pt idx="1">
                  <c:v>Steel</c:v>
                </c:pt>
                <c:pt idx="2">
                  <c:v>Wood</c:v>
                </c:pt>
              </c:strCache>
            </c:strRef>
          </c:cat>
          <c:val>
            <c:numRef>
              <c:f>Charts!$E$11:$E$13</c:f>
              <c:numCache>
                <c:formatCode>General</c:formatCode>
                <c:ptCount val="3"/>
                <c:pt idx="0">
                  <c:v>666</c:v>
                </c:pt>
                <c:pt idx="1">
                  <c:v>667</c:v>
                </c:pt>
                <c:pt idx="2">
                  <c:v>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31-4C4F-8AA7-45EB4C0EB994}"/>
            </c:ext>
          </c:extLst>
        </c:ser>
        <c:ser>
          <c:idx val="1"/>
          <c:order val="1"/>
          <c:tx>
            <c:strRef>
              <c:f>Charts!$F$10</c:f>
              <c:strCache>
                <c:ptCount val="1"/>
                <c:pt idx="0">
                  <c:v>Standing</c:v>
                </c:pt>
              </c:strCache>
            </c:strRef>
          </c:tx>
          <c:spPr>
            <a:solidFill>
              <a:srgbClr val="2E86C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Charts!$D$11:$D$13</c:f>
              <c:strCache>
                <c:ptCount val="3"/>
                <c:pt idx="0">
                  <c:v>Concrete</c:v>
                </c:pt>
                <c:pt idx="1">
                  <c:v>Steel</c:v>
                </c:pt>
                <c:pt idx="2">
                  <c:v>Wood</c:v>
                </c:pt>
              </c:strCache>
            </c:strRef>
          </c:cat>
          <c:val>
            <c:numRef>
              <c:f>Charts!$F$11:$F$13</c:f>
              <c:numCache>
                <c:formatCode>General</c:formatCode>
                <c:ptCount val="3"/>
                <c:pt idx="0">
                  <c:v>2667</c:v>
                </c:pt>
                <c:pt idx="1">
                  <c:v>2667</c:v>
                </c:pt>
                <c:pt idx="2">
                  <c:v>2666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31-4C4F-8AA7-45EB4C0EB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10"/>
        <c:axId val="43467927"/>
        <c:axId val="82127355"/>
      </c:barChart>
      <c:catAx>
        <c:axId val="434679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Material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127355"/>
        <c:crosses val="autoZero"/>
        <c:auto val="1"/>
        <c:lblAlgn val="ctr"/>
        <c:lblOffset val="100"/>
        <c:noMultiLvlLbl val="0"/>
      </c:catAx>
      <c:valAx>
        <c:axId val="821273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4679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Bridge Status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Charts!$E$16</c:f>
              <c:strCache>
                <c:ptCount val="1"/>
                <c:pt idx="0">
                  <c:v>Collapsed</c:v>
                </c:pt>
              </c:strCache>
            </c:strRef>
          </c:tx>
          <c:spPr>
            <a:solidFill>
              <a:srgbClr val="C039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Charts!$D$17:$D$21</c:f>
              <c:strCache>
                <c:ptCount val="5"/>
                <c:pt idx="0">
                  <c:v>Region_1</c:v>
                </c:pt>
                <c:pt idx="1">
                  <c:v>Region_2</c:v>
                </c:pt>
                <c:pt idx="2">
                  <c:v>Region_3</c:v>
                </c:pt>
                <c:pt idx="3">
                  <c:v>Region_4</c:v>
                </c:pt>
                <c:pt idx="4">
                  <c:v>Region_5</c:v>
                </c:pt>
              </c:strCache>
            </c:strRef>
          </c:cat>
          <c:val>
            <c:numRef>
              <c:f>Charts!$E$17:$E$21</c:f>
              <c:numCache>
                <c:formatCode>General</c:formatCode>
                <c:ptCount val="5"/>
                <c:pt idx="0">
                  <c:v>400</c:v>
                </c:pt>
                <c:pt idx="1">
                  <c:v>400</c:v>
                </c:pt>
                <c:pt idx="2">
                  <c:v>400</c:v>
                </c:pt>
                <c:pt idx="3">
                  <c:v>400</c:v>
                </c:pt>
                <c:pt idx="4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22-4F92-9CE8-E85FB23C53D9}"/>
            </c:ext>
          </c:extLst>
        </c:ser>
        <c:ser>
          <c:idx val="1"/>
          <c:order val="1"/>
          <c:tx>
            <c:strRef>
              <c:f>Charts!$F$16</c:f>
              <c:strCache>
                <c:ptCount val="1"/>
                <c:pt idx="0">
                  <c:v>Standing</c:v>
                </c:pt>
              </c:strCache>
            </c:strRef>
          </c:tx>
          <c:spPr>
            <a:solidFill>
              <a:srgbClr val="27AE6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Charts!$D$17:$D$21</c:f>
              <c:strCache>
                <c:ptCount val="5"/>
                <c:pt idx="0">
                  <c:v>Region_1</c:v>
                </c:pt>
                <c:pt idx="1">
                  <c:v>Region_2</c:v>
                </c:pt>
                <c:pt idx="2">
                  <c:v>Region_3</c:v>
                </c:pt>
                <c:pt idx="3">
                  <c:v>Region_4</c:v>
                </c:pt>
                <c:pt idx="4">
                  <c:v>Region_5</c:v>
                </c:pt>
              </c:strCache>
            </c:strRef>
          </c:cat>
          <c:val>
            <c:numRef>
              <c:f>Charts!$F$17:$F$21</c:f>
              <c:numCache>
                <c:formatCode>General</c:formatCode>
                <c:ptCount val="5"/>
                <c:pt idx="0">
                  <c:v>1600</c:v>
                </c:pt>
                <c:pt idx="1">
                  <c:v>1600</c:v>
                </c:pt>
                <c:pt idx="2">
                  <c:v>1600</c:v>
                </c:pt>
                <c:pt idx="3">
                  <c:v>1600</c:v>
                </c:pt>
                <c:pt idx="4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22-4F92-9CE8-E85FB23C5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718483"/>
        <c:axId val="28909533"/>
      </c:barChart>
      <c:catAx>
        <c:axId val="1971848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909533"/>
        <c:crosses val="autoZero"/>
        <c:auto val="1"/>
        <c:lblAlgn val="ctr"/>
        <c:lblOffset val="100"/>
        <c:noMultiLvlLbl val="0"/>
      </c:catAx>
      <c:valAx>
        <c:axId val="2890953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7184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Collapse Rate by Bridge Age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Charts!$B$10</c:f>
              <c:strCache>
                <c:ptCount val="1"/>
                <c:pt idx="0">
                  <c:v>Collapse Rate (%)</c:v>
                </c:pt>
              </c:strCache>
            </c:strRef>
          </c:tx>
          <c:spPr>
            <a:ln w="24840">
              <a:solidFill>
                <a:srgbClr val="D35400"/>
              </a:solidFill>
              <a:round/>
            </a:ln>
          </c:spPr>
          <c:marker>
            <c:symbol val="circle"/>
            <c:size val="8"/>
            <c:spPr>
              <a:solidFill>
                <a:srgbClr val="D354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Charts!$A$11:$A$15</c:f>
              <c:strCache>
                <c:ptCount val="5"/>
                <c:pt idx="0">
                  <c:v>0-10 yrs</c:v>
                </c:pt>
                <c:pt idx="1">
                  <c:v>11-20 yrs</c:v>
                </c:pt>
                <c:pt idx="2">
                  <c:v>21-30 yrs</c:v>
                </c:pt>
                <c:pt idx="3">
                  <c:v>31-40 yrs</c:v>
                </c:pt>
                <c:pt idx="4">
                  <c:v>41-50 yrs</c:v>
                </c:pt>
              </c:strCache>
            </c:strRef>
          </c:cat>
          <c:val>
            <c:numRef>
              <c:f>Charts!$B$11:$B$15</c:f>
              <c:numCache>
                <c:formatCode>General</c:formatCode>
                <c:ptCount val="5"/>
                <c:pt idx="0">
                  <c:v>20.5</c:v>
                </c:pt>
                <c:pt idx="1">
                  <c:v>18.899999999999999</c:v>
                </c:pt>
                <c:pt idx="2">
                  <c:v>19.5</c:v>
                </c:pt>
                <c:pt idx="3">
                  <c:v>19.2</c:v>
                </c:pt>
                <c:pt idx="4">
                  <c:v>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BE3-478E-ABDE-E1B6033B6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6283873"/>
        <c:axId val="62089191"/>
      </c:lineChart>
      <c:catAx>
        <c:axId val="262838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Age Group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089191"/>
        <c:crosses val="autoZero"/>
        <c:auto val="1"/>
        <c:lblAlgn val="ctr"/>
        <c:lblOffset val="100"/>
        <c:noMultiLvlLbl val="0"/>
      </c:catAx>
      <c:valAx>
        <c:axId val="620891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Collapse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2838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Collapse Status by Material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Charts!$E$10</c:f>
              <c:strCache>
                <c:ptCount val="1"/>
                <c:pt idx="0">
                  <c:v>Collapsed</c:v>
                </c:pt>
              </c:strCache>
            </c:strRef>
          </c:tx>
          <c:spPr>
            <a:solidFill>
              <a:srgbClr val="C039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Charts!$D$11:$D$13</c:f>
              <c:strCache>
                <c:ptCount val="3"/>
                <c:pt idx="0">
                  <c:v>Concrete</c:v>
                </c:pt>
                <c:pt idx="1">
                  <c:v>Steel</c:v>
                </c:pt>
                <c:pt idx="2">
                  <c:v>Wood</c:v>
                </c:pt>
              </c:strCache>
            </c:strRef>
          </c:cat>
          <c:val>
            <c:numRef>
              <c:f>Charts!$E$11:$E$13</c:f>
              <c:numCache>
                <c:formatCode>General</c:formatCode>
                <c:ptCount val="3"/>
                <c:pt idx="0">
                  <c:v>666</c:v>
                </c:pt>
                <c:pt idx="1">
                  <c:v>667</c:v>
                </c:pt>
                <c:pt idx="2">
                  <c:v>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2B-4F18-9084-EB4505EF3ABF}"/>
            </c:ext>
          </c:extLst>
        </c:ser>
        <c:ser>
          <c:idx val="1"/>
          <c:order val="1"/>
          <c:tx>
            <c:strRef>
              <c:f>Charts!$F$10</c:f>
              <c:strCache>
                <c:ptCount val="1"/>
                <c:pt idx="0">
                  <c:v>Standing</c:v>
                </c:pt>
              </c:strCache>
            </c:strRef>
          </c:tx>
          <c:spPr>
            <a:solidFill>
              <a:srgbClr val="2E86C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Charts!$D$11:$D$13</c:f>
              <c:strCache>
                <c:ptCount val="3"/>
                <c:pt idx="0">
                  <c:v>Concrete</c:v>
                </c:pt>
                <c:pt idx="1">
                  <c:v>Steel</c:v>
                </c:pt>
                <c:pt idx="2">
                  <c:v>Wood</c:v>
                </c:pt>
              </c:strCache>
            </c:strRef>
          </c:cat>
          <c:val>
            <c:numRef>
              <c:f>Charts!$F$11:$F$13</c:f>
              <c:numCache>
                <c:formatCode>General</c:formatCode>
                <c:ptCount val="3"/>
                <c:pt idx="0">
                  <c:v>2667</c:v>
                </c:pt>
                <c:pt idx="1">
                  <c:v>2667</c:v>
                </c:pt>
                <c:pt idx="2">
                  <c:v>2666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2B-4F18-9084-EB4505EF3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10"/>
        <c:axId val="43467927"/>
        <c:axId val="82127355"/>
      </c:barChart>
      <c:catAx>
        <c:axId val="434679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Material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127355"/>
        <c:crosses val="autoZero"/>
        <c:auto val="1"/>
        <c:lblAlgn val="ctr"/>
        <c:lblOffset val="100"/>
        <c:noMultiLvlLbl val="0"/>
      </c:catAx>
      <c:valAx>
        <c:axId val="821273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4679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Bridge Status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Charts!$E$16</c:f>
              <c:strCache>
                <c:ptCount val="1"/>
                <c:pt idx="0">
                  <c:v>Collapsed</c:v>
                </c:pt>
              </c:strCache>
            </c:strRef>
          </c:tx>
          <c:spPr>
            <a:solidFill>
              <a:srgbClr val="C039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Charts!$D$17:$D$21</c:f>
              <c:strCache>
                <c:ptCount val="5"/>
                <c:pt idx="0">
                  <c:v>Region_1</c:v>
                </c:pt>
                <c:pt idx="1">
                  <c:v>Region_2</c:v>
                </c:pt>
                <c:pt idx="2">
                  <c:v>Region_3</c:v>
                </c:pt>
                <c:pt idx="3">
                  <c:v>Region_4</c:v>
                </c:pt>
                <c:pt idx="4">
                  <c:v>Region_5</c:v>
                </c:pt>
              </c:strCache>
            </c:strRef>
          </c:cat>
          <c:val>
            <c:numRef>
              <c:f>Charts!$E$17:$E$21</c:f>
              <c:numCache>
                <c:formatCode>General</c:formatCode>
                <c:ptCount val="5"/>
                <c:pt idx="0">
                  <c:v>400</c:v>
                </c:pt>
                <c:pt idx="1">
                  <c:v>400</c:v>
                </c:pt>
                <c:pt idx="2">
                  <c:v>400</c:v>
                </c:pt>
                <c:pt idx="3">
                  <c:v>400</c:v>
                </c:pt>
                <c:pt idx="4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EA-4781-9F21-F75516A2319C}"/>
            </c:ext>
          </c:extLst>
        </c:ser>
        <c:ser>
          <c:idx val="1"/>
          <c:order val="1"/>
          <c:tx>
            <c:strRef>
              <c:f>Charts!$F$16</c:f>
              <c:strCache>
                <c:ptCount val="1"/>
                <c:pt idx="0">
                  <c:v>Standing</c:v>
                </c:pt>
              </c:strCache>
            </c:strRef>
          </c:tx>
          <c:spPr>
            <a:solidFill>
              <a:srgbClr val="27AE6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Charts!$D$17:$D$21</c:f>
              <c:strCache>
                <c:ptCount val="5"/>
                <c:pt idx="0">
                  <c:v>Region_1</c:v>
                </c:pt>
                <c:pt idx="1">
                  <c:v>Region_2</c:v>
                </c:pt>
                <c:pt idx="2">
                  <c:v>Region_3</c:v>
                </c:pt>
                <c:pt idx="3">
                  <c:v>Region_4</c:v>
                </c:pt>
                <c:pt idx="4">
                  <c:v>Region_5</c:v>
                </c:pt>
              </c:strCache>
            </c:strRef>
          </c:cat>
          <c:val>
            <c:numRef>
              <c:f>Charts!$F$17:$F$21</c:f>
              <c:numCache>
                <c:formatCode>General</c:formatCode>
                <c:ptCount val="5"/>
                <c:pt idx="0">
                  <c:v>1600</c:v>
                </c:pt>
                <c:pt idx="1">
                  <c:v>1600</c:v>
                </c:pt>
                <c:pt idx="2">
                  <c:v>1600</c:v>
                </c:pt>
                <c:pt idx="3">
                  <c:v>1600</c:v>
                </c:pt>
                <c:pt idx="4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EA-4781-9F21-F75516A23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718483"/>
        <c:axId val="28909533"/>
      </c:barChart>
      <c:catAx>
        <c:axId val="1971848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909533"/>
        <c:crosses val="autoZero"/>
        <c:auto val="1"/>
        <c:lblAlgn val="ctr"/>
        <c:lblOffset val="100"/>
        <c:noMultiLvlLbl val="0"/>
      </c:catAx>
      <c:valAx>
        <c:axId val="2890953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7184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Bridge Risk Level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Charts!$B$3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27AE6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F217-4190-97BB-63645BAB95BE}"/>
              </c:ext>
            </c:extLst>
          </c:dPt>
          <c:dPt>
            <c:idx val="1"/>
            <c:bubble3D val="0"/>
            <c:spPr>
              <a:solidFill>
                <a:srgbClr val="F4D03F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F217-4190-97BB-63645BAB95BE}"/>
              </c:ext>
            </c:extLst>
          </c:dPt>
          <c:dPt>
            <c:idx val="2"/>
            <c:bubble3D val="0"/>
            <c:spPr>
              <a:solidFill>
                <a:srgbClr val="E67E2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F217-4190-97BB-63645BAB95BE}"/>
              </c:ext>
            </c:extLst>
          </c:dPt>
          <c:dPt>
            <c:idx val="3"/>
            <c:bubble3D val="0"/>
            <c:spPr>
              <a:solidFill>
                <a:srgbClr val="C0392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F217-4190-97BB-63645BAB95BE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217-4190-97BB-63645BAB95BE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217-4190-97BB-63645BAB95BE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217-4190-97BB-63645BAB95BE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217-4190-97BB-63645BAB95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Charts!$A$4:$A$7</c:f>
              <c:strCache>
                <c:ptCount val="4"/>
                <c:pt idx="0">
                  <c:v>Low</c:v>
                </c:pt>
                <c:pt idx="1">
                  <c:v>Moderate</c:v>
                </c:pt>
                <c:pt idx="2">
                  <c:v>High</c:v>
                </c:pt>
                <c:pt idx="3">
                  <c:v>Critical</c:v>
                </c:pt>
              </c:strCache>
            </c:strRef>
          </c:cat>
          <c:val>
            <c:numRef>
              <c:f>Charts!$B$4:$B$7</c:f>
              <c:numCache>
                <c:formatCode>General</c:formatCode>
                <c:ptCount val="4"/>
                <c:pt idx="0">
                  <c:v>2256</c:v>
                </c:pt>
                <c:pt idx="1">
                  <c:v>3484</c:v>
                </c:pt>
                <c:pt idx="2">
                  <c:v>2789</c:v>
                </c:pt>
                <c:pt idx="3">
                  <c:v>1471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217-4190-97BB-63645BAB9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Collapse Rate by Bridge Age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Charts!$B$10</c:f>
              <c:strCache>
                <c:ptCount val="1"/>
                <c:pt idx="0">
                  <c:v>Collapse Rate (%)</c:v>
                </c:pt>
              </c:strCache>
            </c:strRef>
          </c:tx>
          <c:spPr>
            <a:ln w="24840">
              <a:solidFill>
                <a:srgbClr val="D35400"/>
              </a:solidFill>
              <a:round/>
            </a:ln>
          </c:spPr>
          <c:marker>
            <c:symbol val="circle"/>
            <c:size val="8"/>
            <c:spPr>
              <a:solidFill>
                <a:srgbClr val="D354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Charts!$A$11:$A$15</c:f>
              <c:strCache>
                <c:ptCount val="5"/>
                <c:pt idx="0">
                  <c:v>0-10 yrs</c:v>
                </c:pt>
                <c:pt idx="1">
                  <c:v>11-20 yrs</c:v>
                </c:pt>
                <c:pt idx="2">
                  <c:v>21-30 yrs</c:v>
                </c:pt>
                <c:pt idx="3">
                  <c:v>31-40 yrs</c:v>
                </c:pt>
                <c:pt idx="4">
                  <c:v>41-50 yrs</c:v>
                </c:pt>
              </c:strCache>
            </c:strRef>
          </c:cat>
          <c:val>
            <c:numRef>
              <c:f>Charts!$B$11:$B$15</c:f>
              <c:numCache>
                <c:formatCode>General</c:formatCode>
                <c:ptCount val="5"/>
                <c:pt idx="0">
                  <c:v>20.5</c:v>
                </c:pt>
                <c:pt idx="1">
                  <c:v>18.899999999999999</c:v>
                </c:pt>
                <c:pt idx="2">
                  <c:v>19.5</c:v>
                </c:pt>
                <c:pt idx="3">
                  <c:v>19.2</c:v>
                </c:pt>
                <c:pt idx="4">
                  <c:v>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ED9-42B7-8DB6-D96D76EF7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6283873"/>
        <c:axId val="62089191"/>
      </c:lineChart>
      <c:catAx>
        <c:axId val="262838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Age Group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089191"/>
        <c:crosses val="autoZero"/>
        <c:auto val="1"/>
        <c:lblAlgn val="ctr"/>
        <c:lblOffset val="100"/>
        <c:noMultiLvlLbl val="0"/>
      </c:catAx>
      <c:valAx>
        <c:axId val="620891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Collapse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2838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Avg Stress (MPa): Collapsed vs Standing by Design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Charts!$E$3</c:f>
              <c:strCache>
                <c:ptCount val="1"/>
                <c:pt idx="0">
                  <c:v>Avg Stress - Collapsed</c:v>
                </c:pt>
              </c:strCache>
            </c:strRef>
          </c:tx>
          <c:spPr>
            <a:solidFill>
              <a:srgbClr val="C039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Charts!$D$4:$D$6</c:f>
              <c:strCache>
                <c:ptCount val="3"/>
                <c:pt idx="0">
                  <c:v>Arch</c:v>
                </c:pt>
                <c:pt idx="1">
                  <c:v>Beam</c:v>
                </c:pt>
                <c:pt idx="2">
                  <c:v>Truss</c:v>
                </c:pt>
              </c:strCache>
            </c:strRef>
          </c:cat>
          <c:val>
            <c:numRef>
              <c:f>Charts!$E$4:$E$6</c:f>
              <c:numCache>
                <c:formatCode>General</c:formatCode>
                <c:ptCount val="3"/>
                <c:pt idx="0">
                  <c:v>90</c:v>
                </c:pt>
                <c:pt idx="1">
                  <c:v>90</c:v>
                </c:pt>
                <c:pt idx="2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C8-4E88-ABD7-1C8418A0ED50}"/>
            </c:ext>
          </c:extLst>
        </c:ser>
        <c:ser>
          <c:idx val="1"/>
          <c:order val="1"/>
          <c:tx>
            <c:strRef>
              <c:f>Charts!$F$3</c:f>
              <c:strCache>
                <c:ptCount val="1"/>
                <c:pt idx="0">
                  <c:v>Avg Stress - Standing</c:v>
                </c:pt>
              </c:strCache>
            </c:strRef>
          </c:tx>
          <c:spPr>
            <a:solidFill>
              <a:srgbClr val="2980B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Charts!$D$4:$D$6</c:f>
              <c:strCache>
                <c:ptCount val="3"/>
                <c:pt idx="0">
                  <c:v>Arch</c:v>
                </c:pt>
                <c:pt idx="1">
                  <c:v>Beam</c:v>
                </c:pt>
                <c:pt idx="2">
                  <c:v>Truss</c:v>
                </c:pt>
              </c:strCache>
            </c:strRef>
          </c:cat>
          <c:val>
            <c:numRef>
              <c:f>Charts!$F$4:$F$6</c:f>
              <c:numCache>
                <c:formatCode>General</c:formatCode>
                <c:ptCount val="3"/>
                <c:pt idx="0">
                  <c:v>40</c:v>
                </c:pt>
                <c:pt idx="1">
                  <c:v>40</c:v>
                </c:pt>
                <c:pt idx="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C8-4E88-ABD7-1C8418A0E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331539"/>
        <c:axId val="92127463"/>
      </c:barChart>
      <c:catAx>
        <c:axId val="523315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Bridge Design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127463"/>
        <c:crosses val="autoZero"/>
        <c:auto val="1"/>
        <c:lblAlgn val="ctr"/>
        <c:lblOffset val="100"/>
        <c:noMultiLvlLbl val="0"/>
      </c:catAx>
      <c:valAx>
        <c:axId val="921274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Stress (MPa)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3315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Collapsed Bridges by Weather Condition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Charts!$B$18</c:f>
              <c:strCache>
                <c:ptCount val="1"/>
                <c:pt idx="0">
                  <c:v>Collapsed</c:v>
                </c:pt>
              </c:strCache>
            </c:strRef>
          </c:tx>
          <c:spPr>
            <a:solidFill>
              <a:srgbClr val="148F7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Charts!$A$19:$A$23</c:f>
              <c:strCache>
                <c:ptCount val="5"/>
                <c:pt idx="0">
                  <c:v>Cloudy</c:v>
                </c:pt>
                <c:pt idx="1">
                  <c:v>Rainy</c:v>
                </c:pt>
                <c:pt idx="2">
                  <c:v>Snowy</c:v>
                </c:pt>
                <c:pt idx="3">
                  <c:v>Sunny</c:v>
                </c:pt>
                <c:pt idx="4">
                  <c:v>Windy</c:v>
                </c:pt>
              </c:strCache>
            </c:strRef>
          </c:cat>
          <c:val>
            <c:numRef>
              <c:f>Charts!$B$19:$B$23</c:f>
              <c:numCache>
                <c:formatCode>General</c:formatCode>
                <c:ptCount val="5"/>
                <c:pt idx="0">
                  <c:v>400</c:v>
                </c:pt>
                <c:pt idx="1">
                  <c:v>400</c:v>
                </c:pt>
                <c:pt idx="2">
                  <c:v>400</c:v>
                </c:pt>
                <c:pt idx="3">
                  <c:v>400</c:v>
                </c:pt>
                <c:pt idx="4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01-48EE-B876-D2EA7894C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148424"/>
        <c:axId val="72992873"/>
      </c:barChart>
      <c:catAx>
        <c:axId val="6814842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Collapsed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992873"/>
        <c:crosses val="autoZero"/>
        <c:auto val="1"/>
        <c:lblAlgn val="ctr"/>
        <c:lblOffset val="100"/>
        <c:noMultiLvlLbl val="0"/>
      </c:catAx>
      <c:valAx>
        <c:axId val="7299287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Weather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1484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DE50F19-C81A-42C4-BC9E-81B3219C9399}">
  <sheetPr/>
  <sheetViews>
    <sheetView zoomScale="10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5D2B008-1938-4DE3-86A0-7D46E5167749}">
  <sheetPr/>
  <sheetViews>
    <sheetView zoomScale="10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8412" cy="628276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0C87DC-BF32-2CB9-E2E3-ACC9D8F6E3E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8412" cy="628276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0F4672-BD1A-62F6-DCC6-E68E2BA752B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21041</xdr:colOff>
      <xdr:row>22</xdr:row>
      <xdr:rowOff>10297</xdr:rowOff>
    </xdr:from>
    <xdr:to>
      <xdr:col>5</xdr:col>
      <xdr:colOff>806880</xdr:colOff>
      <xdr:row>35</xdr:row>
      <xdr:rowOff>154459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E82380-1A18-4DCF-AD3B-64F5E4CE76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71735</xdr:colOff>
      <xdr:row>21</xdr:row>
      <xdr:rowOff>164757</xdr:rowOff>
    </xdr:from>
    <xdr:to>
      <xdr:col>12</xdr:col>
      <xdr:colOff>319354</xdr:colOff>
      <xdr:row>35</xdr:row>
      <xdr:rowOff>144162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36949C-E983-4EBF-B848-D2DA192DBE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22157</xdr:colOff>
      <xdr:row>37</xdr:row>
      <xdr:rowOff>344</xdr:rowOff>
    </xdr:from>
    <xdr:to>
      <xdr:col>5</xdr:col>
      <xdr:colOff>763460</xdr:colOff>
      <xdr:row>51</xdr:row>
      <xdr:rowOff>44377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F3DF01-0481-47CE-A26A-4CBDF7AEB6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452706</xdr:colOff>
      <xdr:row>36</xdr:row>
      <xdr:rowOff>169746</xdr:rowOff>
    </xdr:from>
    <xdr:to>
      <xdr:col>18</xdr:col>
      <xdr:colOff>346190</xdr:colOff>
      <xdr:row>51</xdr:row>
      <xdr:rowOff>10298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7DA6147-8B48-4E79-B25C-73087EA8D7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18347</xdr:colOff>
      <xdr:row>37</xdr:row>
      <xdr:rowOff>7247</xdr:rowOff>
    </xdr:from>
    <xdr:to>
      <xdr:col>12</xdr:col>
      <xdr:colOff>295479</xdr:colOff>
      <xdr:row>51</xdr:row>
      <xdr:rowOff>10299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8087378-3FBA-465B-8CB6-F816FDF091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12</xdr:col>
      <xdr:colOff>441519</xdr:colOff>
      <xdr:row>21</xdr:row>
      <xdr:rowOff>137789</xdr:rowOff>
    </xdr:from>
    <xdr:to>
      <xdr:col>18</xdr:col>
      <xdr:colOff>355313</xdr:colOff>
      <xdr:row>35</xdr:row>
      <xdr:rowOff>93893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5F04995-EA47-4663-87A9-8789EC230E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823783</xdr:colOff>
      <xdr:row>5</xdr:row>
      <xdr:rowOff>0</xdr:rowOff>
    </xdr:from>
    <xdr:to>
      <xdr:col>19</xdr:col>
      <xdr:colOff>3243648</xdr:colOff>
      <xdr:row>46</xdr:row>
      <xdr:rowOff>41189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7F4BB9D-23E9-7B9E-B167-056A96D40172}"/>
            </a:ext>
          </a:extLst>
        </xdr:cNvPr>
        <xdr:cNvSpPr txBox="1"/>
      </xdr:nvSpPr>
      <xdr:spPr>
        <a:xfrm>
          <a:off x="15651891" y="1503405"/>
          <a:ext cx="3243649" cy="7774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0" i="0">
              <a:solidFill>
                <a:schemeClr val="dk1"/>
              </a:solidFill>
              <a:effectLst/>
              <a:latin typeface="Bookman Old Style" panose="02050604050505020204" pitchFamily="18" charset="0"/>
              <a:ea typeface="+mn-ea"/>
              <a:cs typeface="+mn-cs"/>
            </a:rPr>
            <a:t>--&gt; This dataset covers </a:t>
          </a:r>
          <a:r>
            <a:rPr lang="en-IN" sz="1200" b="1" i="0">
              <a:solidFill>
                <a:schemeClr val="dk1"/>
              </a:solidFill>
              <a:effectLst/>
              <a:latin typeface="Bookman Old Style" panose="02050604050505020204" pitchFamily="18" charset="0"/>
              <a:ea typeface="+mn-ea"/>
              <a:cs typeface="+mn-cs"/>
            </a:rPr>
            <a:t>10,000 bridges</a:t>
          </a:r>
          <a:r>
            <a:rPr lang="en-IN" sz="1200" b="0" i="0">
              <a:solidFill>
                <a:schemeClr val="dk1"/>
              </a:solidFill>
              <a:effectLst/>
              <a:latin typeface="Bookman Old Style" panose="02050604050505020204" pitchFamily="18" charset="0"/>
              <a:ea typeface="+mn-ea"/>
              <a:cs typeface="+mn-cs"/>
            </a:rPr>
            <a:t> distributed equally across 5 geographic regions, 5 weather conditions, 3 design types, and 3 material types. Of these, </a:t>
          </a:r>
          <a:r>
            <a:rPr lang="en-IN" sz="1200" b="1" i="0">
              <a:solidFill>
                <a:schemeClr val="dk1"/>
              </a:solidFill>
              <a:effectLst/>
              <a:latin typeface="Bookman Old Style" panose="02050604050505020204" pitchFamily="18" charset="0"/>
              <a:ea typeface="+mn-ea"/>
              <a:cs typeface="+mn-cs"/>
            </a:rPr>
            <a:t>2,000 bridges (20%) have collapsed</a:t>
          </a:r>
          <a:r>
            <a:rPr lang="en-IN" sz="1200" b="0" i="0">
              <a:solidFill>
                <a:schemeClr val="dk1"/>
              </a:solidFill>
              <a:effectLst/>
              <a:latin typeface="Bookman Old Style" panose="02050604050505020204" pitchFamily="18" charset="0"/>
              <a:ea typeface="+mn-ea"/>
              <a:cs typeface="+mn-cs"/>
            </a:rPr>
            <a:t> and 8,000 remain standing.</a:t>
          </a:r>
        </a:p>
        <a:p>
          <a:endParaRPr lang="en-IN" sz="1200" b="0" i="0">
            <a:solidFill>
              <a:schemeClr val="dk1"/>
            </a:solidFill>
            <a:effectLst/>
            <a:latin typeface="Bookman Old Style" panose="02050604050505020204" pitchFamily="18" charset="0"/>
            <a:ea typeface="+mn-ea"/>
            <a:cs typeface="+mn-cs"/>
          </a:endParaRPr>
        </a:p>
        <a:p>
          <a:r>
            <a:rPr lang="en-IN" sz="1200" b="0" i="0">
              <a:solidFill>
                <a:schemeClr val="dk1"/>
              </a:solidFill>
              <a:effectLst/>
              <a:latin typeface="Bookman Old Style" panose="02050604050505020204" pitchFamily="18" charset="0"/>
              <a:ea typeface="+mn-ea"/>
              <a:cs typeface="+mn-cs"/>
            </a:rPr>
            <a:t>--&gt; The </a:t>
          </a:r>
          <a:r>
            <a:rPr lang="en-IN" sz="1200" b="1" i="0">
              <a:solidFill>
                <a:schemeClr val="dk1"/>
              </a:solidFill>
              <a:effectLst/>
              <a:latin typeface="Bookman Old Style" panose="02050604050505020204" pitchFamily="18" charset="0"/>
              <a:ea typeface="+mn-ea"/>
              <a:cs typeface="+mn-cs"/>
            </a:rPr>
            <a:t>Risk Score</a:t>
          </a:r>
          <a:r>
            <a:rPr lang="en-IN" sz="1200" b="0" i="0">
              <a:solidFill>
                <a:schemeClr val="dk1"/>
              </a:solidFill>
              <a:effectLst/>
              <a:latin typeface="Bookman Old Style" panose="02050604050505020204" pitchFamily="18" charset="0"/>
              <a:ea typeface="+mn-ea"/>
              <a:cs typeface="+mn-cs"/>
            </a:rPr>
            <a:t> (0–100) is the most powerful predictor of collapse in this dataset. Bridges classified as </a:t>
          </a:r>
          <a:r>
            <a:rPr lang="en-IN" sz="1200" b="1" i="0">
              <a:solidFill>
                <a:schemeClr val="dk1"/>
              </a:solidFill>
              <a:effectLst/>
              <a:latin typeface="Bookman Old Style" panose="02050604050505020204" pitchFamily="18" charset="0"/>
              <a:ea typeface="+mn-ea"/>
              <a:cs typeface="+mn-cs"/>
            </a:rPr>
            <a:t>Critical (score ≥ 75)</a:t>
          </a:r>
          <a:r>
            <a:rPr lang="en-IN" sz="1200" b="0" i="0">
              <a:solidFill>
                <a:schemeClr val="dk1"/>
              </a:solidFill>
              <a:effectLst/>
              <a:latin typeface="Bookman Old Style" panose="02050604050505020204" pitchFamily="18" charset="0"/>
              <a:ea typeface="+mn-ea"/>
              <a:cs typeface="+mn-cs"/>
            </a:rPr>
            <a:t> collapse at an 81.2% rate — over 4× the portfolio average. Conversely, Low and Moderate risk bridges show a 0% collapse rate, confirming the score bands are highly calibrated.</a:t>
          </a:r>
        </a:p>
        <a:p>
          <a:endParaRPr lang="en-IN" sz="1200" b="0" i="0">
            <a:solidFill>
              <a:schemeClr val="dk1"/>
            </a:solidFill>
            <a:effectLst/>
            <a:latin typeface="Bookman Old Style" panose="02050604050505020204" pitchFamily="18" charset="0"/>
            <a:ea typeface="+mn-ea"/>
            <a:cs typeface="+mn-cs"/>
          </a:endParaRPr>
        </a:p>
        <a:p>
          <a:r>
            <a:rPr lang="en-IN" sz="1200" b="1" i="0">
              <a:solidFill>
                <a:schemeClr val="dk1"/>
              </a:solidFill>
              <a:effectLst/>
              <a:latin typeface="Bookman Old Style" panose="02050604050505020204" pitchFamily="18" charset="0"/>
              <a:ea typeface="+mn-ea"/>
              <a:cs typeface="+mn-cs"/>
            </a:rPr>
            <a:t>--&gt;</a:t>
          </a:r>
          <a:r>
            <a:rPr lang="en-IN" sz="1200" b="1" i="0" baseline="0">
              <a:solidFill>
                <a:schemeClr val="dk1"/>
              </a:solidFill>
              <a:effectLst/>
              <a:latin typeface="Bookman Old Style" panose="02050604050505020204" pitchFamily="18" charset="0"/>
              <a:ea typeface="+mn-ea"/>
              <a:cs typeface="+mn-cs"/>
            </a:rPr>
            <a:t> </a:t>
          </a:r>
          <a:r>
            <a:rPr lang="en-IN" sz="1200" b="1" i="0">
              <a:solidFill>
                <a:schemeClr val="dk1"/>
              </a:solidFill>
              <a:effectLst/>
              <a:latin typeface="Bookman Old Style" panose="02050604050505020204" pitchFamily="18" charset="0"/>
              <a:ea typeface="+mn-ea"/>
              <a:cs typeface="+mn-cs"/>
            </a:rPr>
            <a:t>Age is the second key signal</a:t>
          </a:r>
          <a:r>
            <a:rPr lang="en-IN" sz="1200" b="0" i="0">
              <a:solidFill>
                <a:schemeClr val="dk1"/>
              </a:solidFill>
              <a:effectLst/>
              <a:latin typeface="Bookman Old Style" panose="02050604050505020204" pitchFamily="18" charset="0"/>
              <a:ea typeface="+mn-ea"/>
              <a:cs typeface="+mn-cs"/>
            </a:rPr>
            <a:t>: the 41–50 year age group has the highest collapse rate at 22%, and bridges 31–40 years old show the highest average stress (56.2 MPa) — suggesting older infrastructure accumulates structural load over time.</a:t>
          </a:r>
        </a:p>
        <a:p>
          <a:endParaRPr lang="en-IN" sz="1200" b="0" i="0">
            <a:solidFill>
              <a:schemeClr val="dk1"/>
            </a:solidFill>
            <a:effectLst/>
            <a:latin typeface="Bookman Old Style" panose="02050604050505020204" pitchFamily="18" charset="0"/>
            <a:ea typeface="+mn-ea"/>
            <a:cs typeface="+mn-cs"/>
          </a:endParaRPr>
        </a:p>
        <a:p>
          <a:r>
            <a:rPr lang="en-IN" sz="1200" b="0" i="0">
              <a:solidFill>
                <a:schemeClr val="dk1"/>
              </a:solidFill>
              <a:effectLst/>
              <a:latin typeface="Bookman Old Style" panose="02050604050505020204" pitchFamily="18" charset="0"/>
              <a:ea typeface="+mn-ea"/>
              <a:cs typeface="+mn-cs"/>
            </a:rPr>
            <a:t>--&gt; Notably, </a:t>
          </a:r>
          <a:r>
            <a:rPr lang="en-IN" sz="1200" b="1" i="0">
              <a:solidFill>
                <a:schemeClr val="dk1"/>
              </a:solidFill>
              <a:effectLst/>
              <a:latin typeface="Bookman Old Style" panose="02050604050505020204" pitchFamily="18" charset="0"/>
              <a:ea typeface="+mn-ea"/>
              <a:cs typeface="+mn-cs"/>
            </a:rPr>
            <a:t>design type (Arch/Beam/Truss)</a:t>
          </a:r>
          <a:r>
            <a:rPr lang="en-IN" sz="1200" b="0" i="0">
              <a:solidFill>
                <a:schemeClr val="dk1"/>
              </a:solidFill>
              <a:effectLst/>
              <a:latin typeface="Bookman Old Style" panose="02050604050505020204" pitchFamily="18" charset="0"/>
              <a:ea typeface="+mn-ea"/>
              <a:cs typeface="+mn-cs"/>
            </a:rPr>
            <a:t>, </a:t>
          </a:r>
          <a:r>
            <a:rPr lang="en-IN" sz="1200" b="1" i="0">
              <a:solidFill>
                <a:schemeClr val="dk1"/>
              </a:solidFill>
              <a:effectLst/>
              <a:latin typeface="Bookman Old Style" panose="02050604050505020204" pitchFamily="18" charset="0"/>
              <a:ea typeface="+mn-ea"/>
              <a:cs typeface="+mn-cs"/>
            </a:rPr>
            <a:t>material (Concrete/Steel/Wood)</a:t>
          </a:r>
          <a:r>
            <a:rPr lang="en-IN" sz="1200" b="0" i="0">
              <a:solidFill>
                <a:schemeClr val="dk1"/>
              </a:solidFill>
              <a:effectLst/>
              <a:latin typeface="Bookman Old Style" panose="02050604050505020204" pitchFamily="18" charset="0"/>
              <a:ea typeface="+mn-ea"/>
              <a:cs typeface="+mn-cs"/>
            </a:rPr>
            <a:t>, </a:t>
          </a:r>
          <a:r>
            <a:rPr lang="en-IN" sz="1200" b="1" i="0">
              <a:solidFill>
                <a:schemeClr val="dk1"/>
              </a:solidFill>
              <a:effectLst/>
              <a:latin typeface="Bookman Old Style" panose="02050604050505020204" pitchFamily="18" charset="0"/>
              <a:ea typeface="+mn-ea"/>
              <a:cs typeface="+mn-cs"/>
            </a:rPr>
            <a:t>region</a:t>
          </a:r>
          <a:r>
            <a:rPr lang="en-IN" sz="1200" b="0" i="0">
              <a:solidFill>
                <a:schemeClr val="dk1"/>
              </a:solidFill>
              <a:effectLst/>
              <a:latin typeface="Bookman Old Style" panose="02050604050505020204" pitchFamily="18" charset="0"/>
              <a:ea typeface="+mn-ea"/>
              <a:cs typeface="+mn-cs"/>
            </a:rPr>
            <a:t>, and </a:t>
          </a:r>
          <a:r>
            <a:rPr lang="en-IN" sz="1200" b="1" i="0">
              <a:solidFill>
                <a:schemeClr val="dk1"/>
              </a:solidFill>
              <a:effectLst/>
              <a:latin typeface="Bookman Old Style" panose="02050604050505020204" pitchFamily="18" charset="0"/>
              <a:ea typeface="+mn-ea"/>
              <a:cs typeface="+mn-cs"/>
            </a:rPr>
            <a:t>weather condition</a:t>
          </a:r>
          <a:r>
            <a:rPr lang="en-IN" sz="1200" b="0" i="0">
              <a:solidFill>
                <a:schemeClr val="dk1"/>
              </a:solidFill>
              <a:effectLst/>
              <a:latin typeface="Bookman Old Style" panose="02050604050505020204" pitchFamily="18" charset="0"/>
              <a:ea typeface="+mn-ea"/>
              <a:cs typeface="+mn-cs"/>
            </a:rPr>
            <a:t> all show a uniform ~20% collapse rate — indicating these dimensions alone do not differentiate risk. The risk score likely already incorporates these factors into its composite computation.</a:t>
          </a:r>
        </a:p>
        <a:p>
          <a:endParaRPr lang="en-IN" sz="1200" b="0" i="0">
            <a:solidFill>
              <a:schemeClr val="dk1"/>
            </a:solidFill>
            <a:effectLst/>
            <a:latin typeface="Bookman Old Style" panose="02050604050505020204" pitchFamily="18" charset="0"/>
            <a:ea typeface="+mn-ea"/>
            <a:cs typeface="+mn-cs"/>
          </a:endParaRPr>
        </a:p>
        <a:p>
          <a:r>
            <a:rPr lang="en-IN" sz="1200" b="1" i="0">
              <a:solidFill>
                <a:schemeClr val="dk1"/>
              </a:solidFill>
              <a:effectLst/>
              <a:latin typeface="Bookman Old Style" panose="02050604050505020204" pitchFamily="18" charset="0"/>
              <a:ea typeface="+mn-ea"/>
              <a:cs typeface="+mn-cs"/>
            </a:rPr>
            <a:t>--&gt; Priority action</a:t>
          </a:r>
          <a:r>
            <a:rPr lang="en-IN" sz="1200" b="0" i="0">
              <a:solidFill>
                <a:schemeClr val="dk1"/>
              </a:solidFill>
              <a:effectLst/>
              <a:latin typeface="Bookman Old Style" panose="02050604050505020204" pitchFamily="18" charset="0"/>
              <a:ea typeface="+mn-ea"/>
              <a:cs typeface="+mn-cs"/>
            </a:rPr>
            <a:t>: The 1,471 Critical-band bridges with 1,194 already collapsed represent the most urgent segment. Remaining Critical bridges still standing are the highest-intervention priority for infrastructure teams.</a:t>
          </a:r>
        </a:p>
        <a:p>
          <a:endParaRPr lang="en-IN" sz="1400"/>
        </a:p>
      </xdr:txBody>
    </xdr:sp>
    <xdr:clientData/>
  </xdr:twoCellAnchor>
  <xdr:twoCellAnchor>
    <xdr:from>
      <xdr:col>11</xdr:col>
      <xdr:colOff>370702</xdr:colOff>
      <xdr:row>16</xdr:row>
      <xdr:rowOff>123568</xdr:rowOff>
    </xdr:from>
    <xdr:to>
      <xdr:col>11</xdr:col>
      <xdr:colOff>700216</xdr:colOff>
      <xdr:row>16</xdr:row>
      <xdr:rowOff>169287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D3721A1-9265-AA96-4092-1ED5948DA147}"/>
            </a:ext>
          </a:extLst>
        </xdr:cNvPr>
        <xdr:cNvSpPr txBox="1"/>
      </xdr:nvSpPr>
      <xdr:spPr>
        <a:xfrm>
          <a:off x="9432324" y="3933568"/>
          <a:ext cx="329514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578592</xdr:colOff>
      <xdr:row>2</xdr:row>
      <xdr:rowOff>15874</xdr:rowOff>
    </xdr:from>
    <xdr:to>
      <xdr:col>24</xdr:col>
      <xdr:colOff>774469</xdr:colOff>
      <xdr:row>21</xdr:row>
      <xdr:rowOff>6406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302193</xdr:colOff>
      <xdr:row>24</xdr:row>
      <xdr:rowOff>40105</xdr:rowOff>
    </xdr:from>
    <xdr:to>
      <xdr:col>16</xdr:col>
      <xdr:colOff>120316</xdr:colOff>
      <xdr:row>48</xdr:row>
      <xdr:rowOff>149560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248897</xdr:colOff>
      <xdr:row>24</xdr:row>
      <xdr:rowOff>40105</xdr:rowOff>
    </xdr:from>
    <xdr:to>
      <xdr:col>7</xdr:col>
      <xdr:colOff>534737</xdr:colOff>
      <xdr:row>48</xdr:row>
      <xdr:rowOff>120316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17</xdr:col>
      <xdr:colOff>374316</xdr:colOff>
      <xdr:row>24</xdr:row>
      <xdr:rowOff>6544</xdr:rowOff>
    </xdr:from>
    <xdr:to>
      <xdr:col>25</xdr:col>
      <xdr:colOff>80210</xdr:colOff>
      <xdr:row>48</xdr:row>
      <xdr:rowOff>66843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913320</xdr:colOff>
      <xdr:row>2</xdr:row>
      <xdr:rowOff>34451</xdr:rowOff>
    </xdr:from>
    <xdr:to>
      <xdr:col>19</xdr:col>
      <xdr:colOff>85952</xdr:colOff>
      <xdr:row>21</xdr:row>
      <xdr:rowOff>26751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261431</xdr:colOff>
      <xdr:row>2</xdr:row>
      <xdr:rowOff>3041</xdr:rowOff>
    </xdr:from>
    <xdr:to>
      <xdr:col>13</xdr:col>
      <xdr:colOff>367270</xdr:colOff>
      <xdr:row>21</xdr:row>
      <xdr:rowOff>5732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8449"/>
  </sheetPr>
  <dimension ref="A1:AN57"/>
  <sheetViews>
    <sheetView showGridLines="0" showRowColHeaders="0" tabSelected="1" zoomScale="77" zoomScaleNormal="93" workbookViewId="0">
      <selection activeCell="Q16" sqref="Q16"/>
    </sheetView>
  </sheetViews>
  <sheetFormatPr defaultColWidth="0" defaultRowHeight="14.4" x14ac:dyDescent="0.3"/>
  <cols>
    <col min="1" max="19" width="12" customWidth="1"/>
    <col min="20" max="20" width="47.5546875" customWidth="1"/>
    <col min="21" max="25" width="8.6640625" hidden="1" customWidth="1"/>
    <col min="26" max="40" width="0" hidden="1" customWidth="1"/>
    <col min="41" max="16384" width="8.6640625" hidden="1"/>
  </cols>
  <sheetData>
    <row r="1" spans="1:40" ht="39.75" customHeight="1" x14ac:dyDescent="0.3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 t="s">
        <v>0</v>
      </c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</row>
    <row r="3" spans="1:40" ht="18" customHeight="1" x14ac:dyDescent="0.3">
      <c r="B3" s="4" t="s">
        <v>1</v>
      </c>
      <c r="C3" s="4"/>
      <c r="E3" s="28" t="s">
        <v>71</v>
      </c>
      <c r="F3" s="3"/>
      <c r="H3" s="35" t="s">
        <v>2</v>
      </c>
      <c r="I3" s="35"/>
      <c r="K3" s="36" t="s">
        <v>3</v>
      </c>
      <c r="L3" s="36"/>
      <c r="N3" s="37" t="s">
        <v>4</v>
      </c>
      <c r="O3" s="38"/>
      <c r="Q3" s="39" t="s">
        <v>5</v>
      </c>
      <c r="R3" s="39"/>
    </row>
    <row r="4" spans="1:40" ht="31.5" customHeight="1" x14ac:dyDescent="0.4">
      <c r="B4" s="2" t="s">
        <v>6</v>
      </c>
      <c r="C4" s="2"/>
      <c r="E4" s="1" t="s">
        <v>7</v>
      </c>
      <c r="F4" s="1"/>
      <c r="H4" s="42" t="s">
        <v>8</v>
      </c>
      <c r="I4" s="42"/>
      <c r="K4" s="43">
        <v>0.2</v>
      </c>
      <c r="L4" s="44"/>
      <c r="N4" s="45">
        <v>49.4</v>
      </c>
      <c r="O4" s="45"/>
      <c r="Q4" s="40">
        <v>1471</v>
      </c>
      <c r="R4" s="40"/>
      <c r="T4" s="32" t="s">
        <v>72</v>
      </c>
    </row>
    <row r="5" spans="1:40" ht="15.75" customHeight="1" x14ac:dyDescent="0.3">
      <c r="B5" s="2"/>
      <c r="C5" s="2"/>
      <c r="E5" s="1"/>
      <c r="F5" s="1"/>
      <c r="H5" s="42"/>
      <c r="I5" s="42"/>
      <c r="K5" s="44"/>
      <c r="L5" s="44"/>
      <c r="N5" s="45"/>
      <c r="O5" s="45"/>
      <c r="Q5" s="40"/>
      <c r="R5" s="40"/>
    </row>
    <row r="7" spans="1:40" ht="18" customHeight="1" x14ac:dyDescent="0.3">
      <c r="A7" s="41" t="s">
        <v>30</v>
      </c>
      <c r="B7" s="41"/>
      <c r="C7" s="41"/>
      <c r="D7" s="41"/>
      <c r="E7" s="41"/>
      <c r="F7" s="41"/>
      <c r="G7" s="29" t="s">
        <v>11</v>
      </c>
      <c r="H7" s="29"/>
      <c r="I7" s="29"/>
      <c r="J7" s="29"/>
      <c r="K7" s="29"/>
      <c r="L7" s="12" t="s">
        <v>31</v>
      </c>
      <c r="M7" s="12"/>
      <c r="N7" s="12"/>
      <c r="O7" s="12"/>
      <c r="P7" s="12"/>
      <c r="Q7" s="12"/>
      <c r="R7" s="12"/>
    </row>
    <row r="8" spans="1:40" x14ac:dyDescent="0.3">
      <c r="A8" s="13" t="s">
        <v>32</v>
      </c>
      <c r="B8" s="13" t="s">
        <v>13</v>
      </c>
      <c r="C8" s="13" t="s">
        <v>14</v>
      </c>
      <c r="D8" s="13" t="s">
        <v>16</v>
      </c>
      <c r="E8" s="13" t="s">
        <v>33</v>
      </c>
      <c r="F8" s="13" t="s">
        <v>34</v>
      </c>
      <c r="G8" s="7" t="s">
        <v>18</v>
      </c>
      <c r="H8" s="7" t="s">
        <v>13</v>
      </c>
      <c r="I8" s="7" t="s">
        <v>14</v>
      </c>
      <c r="J8" s="7" t="s">
        <v>15</v>
      </c>
      <c r="K8" s="7" t="s">
        <v>16</v>
      </c>
      <c r="L8" s="14" t="s">
        <v>35</v>
      </c>
      <c r="M8" s="14" t="s">
        <v>36</v>
      </c>
      <c r="N8" s="14" t="s">
        <v>14</v>
      </c>
      <c r="O8" s="14" t="s">
        <v>16</v>
      </c>
      <c r="P8" s="14" t="s">
        <v>37</v>
      </c>
      <c r="Q8" s="14" t="s">
        <v>38</v>
      </c>
      <c r="R8" s="14" t="s">
        <v>39</v>
      </c>
    </row>
    <row r="9" spans="1:40" x14ac:dyDescent="0.3">
      <c r="A9" s="8" t="s">
        <v>40</v>
      </c>
      <c r="B9" s="9">
        <v>2227</v>
      </c>
      <c r="C9" s="9">
        <v>456</v>
      </c>
      <c r="D9" s="25">
        <v>0.20499999999999999</v>
      </c>
      <c r="E9" s="9">
        <v>38</v>
      </c>
      <c r="F9" s="9">
        <v>49.9</v>
      </c>
      <c r="G9" s="8" t="s">
        <v>21</v>
      </c>
      <c r="H9" s="9">
        <v>2000</v>
      </c>
      <c r="I9" s="9">
        <v>400</v>
      </c>
      <c r="J9" s="9">
        <v>1600</v>
      </c>
      <c r="K9" s="25">
        <v>0.2</v>
      </c>
      <c r="L9" s="15" t="s">
        <v>41</v>
      </c>
      <c r="M9" s="9">
        <v>2256</v>
      </c>
      <c r="N9" s="9">
        <v>0</v>
      </c>
      <c r="O9" s="25">
        <v>0</v>
      </c>
      <c r="P9" s="9">
        <v>20</v>
      </c>
      <c r="Q9" s="9">
        <v>0.1</v>
      </c>
      <c r="R9" s="9">
        <v>30</v>
      </c>
    </row>
    <row r="10" spans="1:40" x14ac:dyDescent="0.3">
      <c r="A10" s="10" t="s">
        <v>42</v>
      </c>
      <c r="B10" s="11">
        <v>1979</v>
      </c>
      <c r="C10" s="11">
        <v>375</v>
      </c>
      <c r="D10" s="26">
        <v>0.189</v>
      </c>
      <c r="E10" s="11">
        <v>43.8</v>
      </c>
      <c r="F10" s="11">
        <v>49.3</v>
      </c>
      <c r="G10" s="10" t="s">
        <v>24</v>
      </c>
      <c r="H10" s="11">
        <v>2000</v>
      </c>
      <c r="I10" s="11">
        <v>400</v>
      </c>
      <c r="J10" s="11">
        <v>1600</v>
      </c>
      <c r="K10" s="26">
        <v>0.2</v>
      </c>
      <c r="L10" s="16" t="s">
        <v>43</v>
      </c>
      <c r="M10" s="11">
        <v>3484</v>
      </c>
      <c r="N10" s="11">
        <v>0</v>
      </c>
      <c r="O10" s="26">
        <v>0</v>
      </c>
      <c r="P10" s="11">
        <v>42.6</v>
      </c>
      <c r="Q10" s="11">
        <v>30</v>
      </c>
      <c r="R10" s="11">
        <v>55</v>
      </c>
    </row>
    <row r="11" spans="1:40" x14ac:dyDescent="0.3">
      <c r="A11" s="8" t="s">
        <v>44</v>
      </c>
      <c r="B11" s="9">
        <v>1944</v>
      </c>
      <c r="C11" s="9">
        <v>380</v>
      </c>
      <c r="D11" s="25">
        <v>0.19500000000000001</v>
      </c>
      <c r="E11" s="9">
        <v>49.8</v>
      </c>
      <c r="F11" s="9">
        <v>49.3</v>
      </c>
      <c r="G11" s="8" t="s">
        <v>27</v>
      </c>
      <c r="H11" s="9">
        <v>2000</v>
      </c>
      <c r="I11" s="9">
        <v>400</v>
      </c>
      <c r="J11" s="9">
        <v>1600</v>
      </c>
      <c r="K11" s="25">
        <v>0.2</v>
      </c>
      <c r="L11" s="7" t="s">
        <v>45</v>
      </c>
      <c r="M11" s="9">
        <v>2789</v>
      </c>
      <c r="N11" s="9">
        <v>806</v>
      </c>
      <c r="O11" s="25">
        <v>0.28899999999999998</v>
      </c>
      <c r="P11" s="9">
        <v>64.7</v>
      </c>
      <c r="Q11" s="9">
        <v>55</v>
      </c>
      <c r="R11" s="9">
        <v>75</v>
      </c>
    </row>
    <row r="12" spans="1:40" x14ac:dyDescent="0.3">
      <c r="A12" s="10" t="s">
        <v>46</v>
      </c>
      <c r="B12" s="11">
        <v>2037</v>
      </c>
      <c r="C12" s="11">
        <v>391</v>
      </c>
      <c r="D12" s="26">
        <v>0.192</v>
      </c>
      <c r="E12" s="11">
        <v>56.2</v>
      </c>
      <c r="F12" s="11">
        <v>50</v>
      </c>
      <c r="G12" s="10" t="s">
        <v>28</v>
      </c>
      <c r="H12" s="11">
        <v>2000</v>
      </c>
      <c r="I12" s="11">
        <v>400</v>
      </c>
      <c r="J12" s="11">
        <v>1600</v>
      </c>
      <c r="K12" s="26">
        <v>0.2</v>
      </c>
      <c r="L12" s="14" t="s">
        <v>47</v>
      </c>
      <c r="M12" s="11">
        <v>1471</v>
      </c>
      <c r="N12" s="11">
        <v>1194</v>
      </c>
      <c r="O12" s="26">
        <v>0.81200000000000006</v>
      </c>
      <c r="P12" s="11">
        <v>83.4</v>
      </c>
      <c r="Q12" s="11">
        <v>75</v>
      </c>
      <c r="R12" s="11">
        <v>98.8</v>
      </c>
    </row>
    <row r="13" spans="1:40" x14ac:dyDescent="0.3">
      <c r="A13" s="8" t="s">
        <v>48</v>
      </c>
      <c r="B13" s="9">
        <v>1813</v>
      </c>
      <c r="C13" s="9">
        <v>398</v>
      </c>
      <c r="D13" s="25">
        <v>0.22</v>
      </c>
      <c r="E13" s="9">
        <v>63.1</v>
      </c>
      <c r="F13" s="9">
        <v>51.6</v>
      </c>
      <c r="G13" s="8" t="s">
        <v>29</v>
      </c>
      <c r="H13" s="9">
        <v>2000</v>
      </c>
      <c r="I13" s="9">
        <v>400</v>
      </c>
      <c r="J13" s="9">
        <v>1600</v>
      </c>
      <c r="K13" s="25">
        <v>0.2</v>
      </c>
    </row>
    <row r="14" spans="1:40" x14ac:dyDescent="0.3">
      <c r="A14" s="33" t="s">
        <v>49</v>
      </c>
      <c r="B14" s="31"/>
      <c r="C14" s="31"/>
      <c r="D14" s="31"/>
      <c r="E14" s="31"/>
      <c r="F14" s="31"/>
      <c r="G14" s="30" t="s">
        <v>10</v>
      </c>
      <c r="H14" s="30"/>
      <c r="I14" s="30"/>
      <c r="J14" s="30"/>
      <c r="K14" s="30"/>
      <c r="L14" s="31" t="s">
        <v>9</v>
      </c>
      <c r="M14" s="31"/>
      <c r="N14" s="31"/>
      <c r="O14" s="31"/>
      <c r="P14" s="31"/>
    </row>
    <row r="15" spans="1:40" ht="18" customHeight="1" x14ac:dyDescent="0.3">
      <c r="A15" s="17" t="s">
        <v>50</v>
      </c>
      <c r="B15" s="17" t="s">
        <v>13</v>
      </c>
      <c r="C15" s="17" t="s">
        <v>14</v>
      </c>
      <c r="D15" s="17" t="s">
        <v>16</v>
      </c>
      <c r="E15" s="17" t="s">
        <v>51</v>
      </c>
      <c r="F15" s="17" t="s">
        <v>34</v>
      </c>
      <c r="G15" s="6" t="s">
        <v>17</v>
      </c>
      <c r="H15" s="6" t="s">
        <v>13</v>
      </c>
      <c r="I15" s="6" t="s">
        <v>14</v>
      </c>
      <c r="J15" s="6" t="s">
        <v>15</v>
      </c>
      <c r="K15" s="6" t="s">
        <v>16</v>
      </c>
      <c r="L15" s="5" t="s">
        <v>12</v>
      </c>
      <c r="M15" s="5" t="s">
        <v>13</v>
      </c>
      <c r="N15" s="5" t="s">
        <v>14</v>
      </c>
      <c r="O15" s="5" t="s">
        <v>15</v>
      </c>
      <c r="P15" s="5" t="s">
        <v>16</v>
      </c>
    </row>
    <row r="16" spans="1:40" x14ac:dyDescent="0.3">
      <c r="A16" s="8" t="s">
        <v>62</v>
      </c>
      <c r="B16" s="9">
        <v>2000</v>
      </c>
      <c r="C16" s="9">
        <v>400</v>
      </c>
      <c r="D16" s="25">
        <v>0.2</v>
      </c>
      <c r="E16" s="9">
        <v>250.1</v>
      </c>
      <c r="F16" s="9">
        <v>50</v>
      </c>
      <c r="G16" s="8" t="s">
        <v>20</v>
      </c>
      <c r="H16" s="9">
        <v>3334</v>
      </c>
      <c r="I16" s="9">
        <v>667</v>
      </c>
      <c r="J16" s="9">
        <v>2667</v>
      </c>
      <c r="K16" s="25">
        <v>0.2</v>
      </c>
      <c r="L16" s="8" t="s">
        <v>19</v>
      </c>
      <c r="M16" s="9">
        <v>3333</v>
      </c>
      <c r="N16" s="9">
        <v>666</v>
      </c>
      <c r="O16" s="9">
        <v>2667</v>
      </c>
      <c r="P16" s="25">
        <v>0.2</v>
      </c>
    </row>
    <row r="17" spans="1:16" x14ac:dyDescent="0.3">
      <c r="A17" s="10" t="s">
        <v>63</v>
      </c>
      <c r="B17" s="11">
        <v>2000</v>
      </c>
      <c r="C17" s="11">
        <v>400</v>
      </c>
      <c r="D17" s="26">
        <v>0.2</v>
      </c>
      <c r="E17" s="11">
        <v>249.9</v>
      </c>
      <c r="F17" s="11">
        <v>50</v>
      </c>
      <c r="G17" s="10" t="s">
        <v>23</v>
      </c>
      <c r="H17" s="11">
        <v>3333</v>
      </c>
      <c r="I17" s="11">
        <v>666</v>
      </c>
      <c r="J17" s="11">
        <v>2667</v>
      </c>
      <c r="K17" s="26">
        <v>0.2</v>
      </c>
      <c r="L17" s="10" t="s">
        <v>22</v>
      </c>
      <c r="M17" s="11">
        <v>3334</v>
      </c>
      <c r="N17" s="11">
        <v>667</v>
      </c>
      <c r="O17" s="11">
        <v>2667</v>
      </c>
      <c r="P17" s="26">
        <v>0.2</v>
      </c>
    </row>
    <row r="18" spans="1:16" x14ac:dyDescent="0.3">
      <c r="A18" s="8" t="s">
        <v>64</v>
      </c>
      <c r="B18" s="9">
        <v>2000</v>
      </c>
      <c r="C18" s="9">
        <v>400</v>
      </c>
      <c r="D18" s="25">
        <v>0.2</v>
      </c>
      <c r="E18" s="9">
        <v>250</v>
      </c>
      <c r="F18" s="9">
        <v>50</v>
      </c>
      <c r="G18" s="8" t="s">
        <v>26</v>
      </c>
      <c r="H18" s="9">
        <v>3333</v>
      </c>
      <c r="I18" s="9">
        <v>667</v>
      </c>
      <c r="J18" s="9">
        <v>2666</v>
      </c>
      <c r="K18" s="25">
        <v>0.2</v>
      </c>
      <c r="L18" s="8" t="s">
        <v>25</v>
      </c>
      <c r="M18" s="9">
        <v>3333</v>
      </c>
      <c r="N18" s="9">
        <v>667</v>
      </c>
      <c r="O18" s="9">
        <v>2666</v>
      </c>
      <c r="P18" s="25">
        <v>0.2</v>
      </c>
    </row>
    <row r="19" spans="1:16" x14ac:dyDescent="0.3">
      <c r="A19" s="10" t="s">
        <v>65</v>
      </c>
      <c r="B19" s="11">
        <v>2000</v>
      </c>
      <c r="C19" s="11">
        <v>400</v>
      </c>
      <c r="D19" s="26">
        <v>0.2</v>
      </c>
      <c r="E19" s="11">
        <v>249.9</v>
      </c>
      <c r="F19" s="11">
        <v>50</v>
      </c>
    </row>
    <row r="20" spans="1:16" x14ac:dyDescent="0.3">
      <c r="A20" s="8" t="s">
        <v>66</v>
      </c>
      <c r="B20" s="9">
        <v>2000</v>
      </c>
      <c r="C20" s="9">
        <v>400</v>
      </c>
      <c r="D20" s="25">
        <v>0.2</v>
      </c>
      <c r="E20" s="9">
        <v>250.1</v>
      </c>
      <c r="F20" s="9">
        <v>50</v>
      </c>
    </row>
    <row r="24" spans="1:16" ht="18" customHeight="1" x14ac:dyDescent="0.3"/>
    <row r="31" spans="1:16" ht="15.75" customHeigh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55" spans="4:13" x14ac:dyDescent="0.3">
      <c r="D55" s="18" t="s">
        <v>52</v>
      </c>
      <c r="E55" s="18" t="s">
        <v>53</v>
      </c>
      <c r="F55" s="18" t="s">
        <v>54</v>
      </c>
      <c r="G55" s="18" t="s">
        <v>55</v>
      </c>
      <c r="H55" s="18" t="s">
        <v>56</v>
      </c>
      <c r="I55" s="18" t="s">
        <v>57</v>
      </c>
      <c r="J55" s="18" t="s">
        <v>58</v>
      </c>
      <c r="K55" s="18" t="s">
        <v>59</v>
      </c>
      <c r="L55" s="18" t="s">
        <v>60</v>
      </c>
      <c r="M55" s="18" t="s">
        <v>61</v>
      </c>
    </row>
    <row r="56" spans="4:13" x14ac:dyDescent="0.3">
      <c r="D56" s="14" t="s">
        <v>14</v>
      </c>
      <c r="E56" s="27">
        <v>90</v>
      </c>
      <c r="F56" s="27">
        <v>9</v>
      </c>
      <c r="G56" s="27">
        <v>24.9</v>
      </c>
      <c r="H56" s="27">
        <v>9010</v>
      </c>
      <c r="I56" s="27">
        <v>450</v>
      </c>
      <c r="J56" s="27">
        <v>77.900000000000006</v>
      </c>
      <c r="K56" s="27">
        <v>90</v>
      </c>
      <c r="L56" s="27">
        <v>42</v>
      </c>
      <c r="M56" s="27">
        <v>4500.2</v>
      </c>
    </row>
    <row r="57" spans="4:13" x14ac:dyDescent="0.3">
      <c r="D57" s="15" t="s">
        <v>15</v>
      </c>
      <c r="E57" s="11">
        <v>40</v>
      </c>
      <c r="F57" s="11">
        <v>4</v>
      </c>
      <c r="G57" s="11">
        <v>24.4</v>
      </c>
      <c r="H57" s="11">
        <v>4060</v>
      </c>
      <c r="I57" s="11">
        <v>200</v>
      </c>
      <c r="J57" s="11">
        <v>42.6</v>
      </c>
      <c r="K57" s="11">
        <v>40</v>
      </c>
      <c r="L57" s="11">
        <v>2</v>
      </c>
      <c r="M57" s="11">
        <v>1999.9</v>
      </c>
    </row>
  </sheetData>
  <mergeCells count="11">
    <mergeCell ref="Q4:R5"/>
    <mergeCell ref="A7:F7"/>
    <mergeCell ref="H4:I5"/>
    <mergeCell ref="K4:L5"/>
    <mergeCell ref="N4:O5"/>
    <mergeCell ref="U1:AN1"/>
    <mergeCell ref="A1:T1"/>
    <mergeCell ref="H3:I3"/>
    <mergeCell ref="K3:L3"/>
    <mergeCell ref="N3:O3"/>
    <mergeCell ref="Q3:R3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A5276"/>
  </sheetPr>
  <dimension ref="A1:AC23"/>
  <sheetViews>
    <sheetView showGridLines="0" zoomScale="57" zoomScaleNormal="48" workbookViewId="0">
      <selection activeCell="I50" sqref="I50"/>
    </sheetView>
  </sheetViews>
  <sheetFormatPr defaultColWidth="0" defaultRowHeight="14.4" x14ac:dyDescent="0.3"/>
  <cols>
    <col min="1" max="1" width="9.88671875" bestFit="1" customWidth="1"/>
    <col min="2" max="2" width="20.6640625" bestFit="1" customWidth="1"/>
    <col min="3" max="3" width="19.6640625" bestFit="1" customWidth="1"/>
    <col min="4" max="4" width="10.21875" bestFit="1" customWidth="1"/>
    <col min="5" max="5" width="16.21875" bestFit="1" customWidth="1"/>
    <col min="6" max="6" width="8.5546875" bestFit="1" customWidth="1"/>
    <col min="7" max="26" width="14" customWidth="1"/>
    <col min="27" max="27" width="1.44140625" customWidth="1"/>
    <col min="28" max="29" width="14" hidden="1" customWidth="1"/>
    <col min="30" max="33" width="8.6640625" hidden="1" customWidth="1"/>
    <col min="34" max="16384" width="8.6640625" hidden="1"/>
  </cols>
  <sheetData>
    <row r="1" spans="1:26" ht="27.75" customHeight="1" x14ac:dyDescent="0.3">
      <c r="A1" s="46" t="s">
        <v>67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3" spans="1:26" x14ac:dyDescent="0.3">
      <c r="A3" s="24" t="s">
        <v>35</v>
      </c>
      <c r="B3" s="24" t="s">
        <v>36</v>
      </c>
      <c r="D3" s="19" t="s">
        <v>17</v>
      </c>
      <c r="E3" s="19" t="s">
        <v>69</v>
      </c>
      <c r="F3" s="19" t="s">
        <v>70</v>
      </c>
    </row>
    <row r="4" spans="1:26" x14ac:dyDescent="0.3">
      <c r="A4" s="22" t="s">
        <v>41</v>
      </c>
      <c r="B4" s="22">
        <v>2256</v>
      </c>
      <c r="D4" s="22" t="s">
        <v>20</v>
      </c>
      <c r="E4" s="22">
        <v>90</v>
      </c>
      <c r="F4" s="22">
        <v>40</v>
      </c>
    </row>
    <row r="5" spans="1:26" x14ac:dyDescent="0.3">
      <c r="A5" s="21" t="s">
        <v>43</v>
      </c>
      <c r="B5" s="21">
        <v>3484</v>
      </c>
      <c r="D5" s="21" t="s">
        <v>23</v>
      </c>
      <c r="E5" s="21">
        <v>90</v>
      </c>
      <c r="F5" s="21">
        <v>40</v>
      </c>
    </row>
    <row r="6" spans="1:26" x14ac:dyDescent="0.3">
      <c r="A6" s="22" t="s">
        <v>45</v>
      </c>
      <c r="B6" s="22">
        <v>2789</v>
      </c>
      <c r="D6" s="22" t="s">
        <v>26</v>
      </c>
      <c r="E6" s="22">
        <v>90</v>
      </c>
      <c r="F6" s="22">
        <v>40</v>
      </c>
    </row>
    <row r="7" spans="1:26" x14ac:dyDescent="0.3">
      <c r="A7" s="21" t="s">
        <v>47</v>
      </c>
      <c r="B7" s="21">
        <v>1471</v>
      </c>
    </row>
    <row r="10" spans="1:26" x14ac:dyDescent="0.3">
      <c r="A10" s="23" t="s">
        <v>32</v>
      </c>
      <c r="B10" s="23" t="s">
        <v>68</v>
      </c>
      <c r="D10" s="19" t="s">
        <v>12</v>
      </c>
      <c r="E10" s="19" t="s">
        <v>14</v>
      </c>
      <c r="F10" s="19" t="s">
        <v>15</v>
      </c>
    </row>
    <row r="11" spans="1:26" x14ac:dyDescent="0.3">
      <c r="A11" s="22" t="s">
        <v>40</v>
      </c>
      <c r="B11" s="22">
        <v>20.5</v>
      </c>
      <c r="D11" s="21" t="s">
        <v>19</v>
      </c>
      <c r="E11" s="21">
        <v>666</v>
      </c>
      <c r="F11" s="21">
        <v>2667</v>
      </c>
    </row>
    <row r="12" spans="1:26" x14ac:dyDescent="0.3">
      <c r="A12" s="21" t="s">
        <v>42</v>
      </c>
      <c r="B12" s="21">
        <v>18.899999999999999</v>
      </c>
      <c r="D12" s="22" t="s">
        <v>22</v>
      </c>
      <c r="E12" s="22">
        <v>667</v>
      </c>
      <c r="F12" s="22">
        <v>2667</v>
      </c>
    </row>
    <row r="13" spans="1:26" x14ac:dyDescent="0.3">
      <c r="A13" s="22" t="s">
        <v>44</v>
      </c>
      <c r="B13" s="22">
        <v>19.5</v>
      </c>
      <c r="D13" s="21" t="s">
        <v>25</v>
      </c>
      <c r="E13" s="21">
        <v>667</v>
      </c>
      <c r="F13" s="21">
        <v>2666</v>
      </c>
    </row>
    <row r="14" spans="1:26" x14ac:dyDescent="0.3">
      <c r="A14" s="21" t="s">
        <v>46</v>
      </c>
      <c r="B14" s="21">
        <v>19.2</v>
      </c>
    </row>
    <row r="15" spans="1:26" x14ac:dyDescent="0.3">
      <c r="A15" s="22" t="s">
        <v>48</v>
      </c>
      <c r="B15" s="22">
        <v>22</v>
      </c>
    </row>
    <row r="16" spans="1:26" x14ac:dyDescent="0.3">
      <c r="D16" s="20" t="s">
        <v>18</v>
      </c>
      <c r="E16" s="20" t="s">
        <v>14</v>
      </c>
      <c r="F16" s="20" t="s">
        <v>15</v>
      </c>
    </row>
    <row r="17" spans="1:6" x14ac:dyDescent="0.3">
      <c r="D17" s="21" t="s">
        <v>21</v>
      </c>
      <c r="E17" s="21">
        <v>400</v>
      </c>
      <c r="F17" s="21">
        <v>1600</v>
      </c>
    </row>
    <row r="18" spans="1:6" x14ac:dyDescent="0.3">
      <c r="A18" s="20" t="s">
        <v>50</v>
      </c>
      <c r="B18" s="20" t="s">
        <v>14</v>
      </c>
      <c r="D18" s="22" t="s">
        <v>24</v>
      </c>
      <c r="E18" s="22">
        <v>400</v>
      </c>
      <c r="F18" s="22">
        <v>1600</v>
      </c>
    </row>
    <row r="19" spans="1:6" x14ac:dyDescent="0.3">
      <c r="A19" s="22" t="s">
        <v>62</v>
      </c>
      <c r="B19" s="22">
        <v>400</v>
      </c>
      <c r="D19" s="21" t="s">
        <v>27</v>
      </c>
      <c r="E19" s="21">
        <v>400</v>
      </c>
      <c r="F19" s="21">
        <v>1600</v>
      </c>
    </row>
    <row r="20" spans="1:6" x14ac:dyDescent="0.3">
      <c r="A20" s="21" t="s">
        <v>63</v>
      </c>
      <c r="B20" s="21">
        <v>400</v>
      </c>
      <c r="D20" s="22" t="s">
        <v>28</v>
      </c>
      <c r="E20" s="22">
        <v>400</v>
      </c>
      <c r="F20" s="22">
        <v>1600</v>
      </c>
    </row>
    <row r="21" spans="1:6" x14ac:dyDescent="0.3">
      <c r="A21" s="22" t="s">
        <v>64</v>
      </c>
      <c r="B21" s="22">
        <v>400</v>
      </c>
      <c r="D21" s="21" t="s">
        <v>29</v>
      </c>
      <c r="E21" s="21">
        <v>400</v>
      </c>
      <c r="F21" s="21">
        <v>1600</v>
      </c>
    </row>
    <row r="22" spans="1:6" x14ac:dyDescent="0.3">
      <c r="A22" s="21" t="s">
        <v>65</v>
      </c>
      <c r="B22" s="21">
        <v>400</v>
      </c>
    </row>
    <row r="23" spans="1:6" x14ac:dyDescent="0.3">
      <c r="A23" s="22" t="s">
        <v>66</v>
      </c>
      <c r="B23" s="22">
        <v>400</v>
      </c>
    </row>
  </sheetData>
  <mergeCells count="1">
    <mergeCell ref="A1:Z1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DASHBOARD</vt:lpstr>
      <vt:lpstr>Charts</vt:lpstr>
      <vt:lpstr>Chart2</vt:lpstr>
      <vt:lpstr>Chart1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Jeevan S J</cp:lastModifiedBy>
  <cp:revision>1</cp:revision>
  <dcterms:created xsi:type="dcterms:W3CDTF">2026-04-03T10:02:19Z</dcterms:created>
  <dcterms:modified xsi:type="dcterms:W3CDTF">2026-04-14T16:36:59Z</dcterms:modified>
  <dc:language>en-US</dc:language>
</cp:coreProperties>
</file>